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- Jun 2026" sheetId="1" r:id="rId5"/>
    <sheet state="visible" name="Jul - Dec 2026" sheetId="2" r:id="rId6"/>
    <sheet state="visible" name="Sheet2" sheetId="3" r:id="rId7"/>
    <sheet state="visible" name="Leaders and Musicians" sheetId="4" r:id="rId8"/>
    <sheet state="hidden" name="Month View" sheetId="5" r:id="rId9"/>
  </sheets>
  <definedNames>
    <definedName name="Begin">'Month View'!$N$1</definedName>
    <definedName name="TODAY">#REF!</definedName>
  </definedNames>
  <calcPr/>
</workbook>
</file>

<file path=xl/sharedStrings.xml><?xml version="1.0" encoding="utf-8"?>
<sst xmlns="http://schemas.openxmlformats.org/spreadsheetml/2006/main" count="809" uniqueCount="117">
  <si>
    <t xml:space="preserve"> 2026 Praise and Worship - Rev 5 &amp; Dancers Schedule</t>
  </si>
  <si>
    <t>Month</t>
  </si>
  <si>
    <t>Israel Sunday</t>
  </si>
  <si>
    <t>Instrumentalist</t>
  </si>
  <si>
    <t>Canada Sunday</t>
  </si>
  <si>
    <t>Filipino Sunday</t>
  </si>
  <si>
    <t>Communion Sunday</t>
  </si>
  <si>
    <t>Fifth Sunday</t>
  </si>
  <si>
    <t>Worship Leaders</t>
  </si>
  <si>
    <t>Date</t>
  </si>
  <si>
    <t>S O U N D    B O O T H</t>
  </si>
  <si>
    <t>Piano</t>
  </si>
  <si>
    <t>Guitar</t>
  </si>
  <si>
    <t>Drums</t>
  </si>
  <si>
    <t>Bass</t>
  </si>
  <si>
    <t>B</t>
  </si>
  <si>
    <t>A</t>
  </si>
  <si>
    <t>January</t>
  </si>
  <si>
    <t>N</t>
  </si>
  <si>
    <t>D</t>
  </si>
  <si>
    <t>Guitars</t>
  </si>
  <si>
    <t>SUNDAYS</t>
  </si>
  <si>
    <t>Saxophone</t>
  </si>
  <si>
    <t>Trumpet</t>
  </si>
  <si>
    <t>Des</t>
  </si>
  <si>
    <t>REV 5 TEAM</t>
  </si>
  <si>
    <t>Praise and Worship Leader</t>
  </si>
  <si>
    <t>DANCERS</t>
  </si>
  <si>
    <t>Austin</t>
  </si>
  <si>
    <t>Hanz</t>
  </si>
  <si>
    <t>Carlo</t>
  </si>
  <si>
    <t>Projection</t>
  </si>
  <si>
    <t>James</t>
  </si>
  <si>
    <t>Jong</t>
  </si>
  <si>
    <t>Audio</t>
  </si>
  <si>
    <t>Camera1 &amp; mixer</t>
  </si>
  <si>
    <t>Immanuel</t>
  </si>
  <si>
    <t>Camera 2</t>
  </si>
  <si>
    <t>Evan</t>
  </si>
  <si>
    <t>Chaym</t>
  </si>
  <si>
    <t>February</t>
  </si>
  <si>
    <t>David B</t>
  </si>
  <si>
    <t>Jason J</t>
  </si>
  <si>
    <t>Jessah</t>
  </si>
  <si>
    <t>Jason C</t>
  </si>
  <si>
    <t>Patrick</t>
  </si>
  <si>
    <t>Jose</t>
  </si>
  <si>
    <t>Joann</t>
  </si>
  <si>
    <t>John</t>
  </si>
  <si>
    <t>1 &amp; 2</t>
  </si>
  <si>
    <t>Michael</t>
  </si>
  <si>
    <t>Eliel</t>
  </si>
  <si>
    <t>Joy (mat leave fr July)</t>
  </si>
  <si>
    <t>Angelo</t>
  </si>
  <si>
    <t>Raf</t>
  </si>
  <si>
    <t>Emem</t>
  </si>
  <si>
    <t>Orly</t>
  </si>
  <si>
    <t>May</t>
  </si>
  <si>
    <t>Shekinah</t>
  </si>
  <si>
    <t>Kristin</t>
  </si>
  <si>
    <t>Jacqueline</t>
  </si>
  <si>
    <t>David</t>
  </si>
  <si>
    <t>Phinette</t>
  </si>
  <si>
    <t>March</t>
  </si>
  <si>
    <t>Joelle (mat leave fr April)</t>
  </si>
  <si>
    <t>Ethan</t>
  </si>
  <si>
    <t>Gary</t>
  </si>
  <si>
    <t>YA</t>
  </si>
  <si>
    <t>Video</t>
  </si>
  <si>
    <t>Camera</t>
  </si>
  <si>
    <t>April</t>
  </si>
  <si>
    <t>Genrev</t>
  </si>
  <si>
    <t>Tammy</t>
  </si>
  <si>
    <t>Jake</t>
  </si>
  <si>
    <t>Eliana</t>
  </si>
  <si>
    <t>Gents</t>
  </si>
  <si>
    <t>Adult</t>
  </si>
  <si>
    <t>June</t>
  </si>
  <si>
    <t>Jethro</t>
  </si>
  <si>
    <t>Jol</t>
  </si>
  <si>
    <t>Deanna</t>
  </si>
  <si>
    <t>Jeric</t>
  </si>
  <si>
    <t>Communion</t>
  </si>
  <si>
    <t>October</t>
  </si>
  <si>
    <t>EmEm</t>
  </si>
  <si>
    <t>Year</t>
  </si>
  <si>
    <t>July</t>
  </si>
  <si>
    <t>Joy</t>
  </si>
  <si>
    <t>Mark</t>
  </si>
  <si>
    <t>August</t>
  </si>
  <si>
    <t>Youth</t>
  </si>
  <si>
    <t>Jason</t>
  </si>
  <si>
    <t>Adult/Gents</t>
  </si>
  <si>
    <t>September</t>
  </si>
  <si>
    <t>5th Sunday</t>
  </si>
  <si>
    <t>David/Eliel</t>
  </si>
  <si>
    <t>November</t>
  </si>
  <si>
    <t>Sun</t>
  </si>
  <si>
    <t>Mon</t>
  </si>
  <si>
    <t>Tue</t>
  </si>
  <si>
    <t>Wed</t>
  </si>
  <si>
    <t>Thu</t>
  </si>
  <si>
    <t>Fri</t>
  </si>
  <si>
    <t>Sat</t>
  </si>
  <si>
    <t>December</t>
  </si>
  <si>
    <t>YA/Adult</t>
  </si>
  <si>
    <t>Eliel/David</t>
  </si>
  <si>
    <t>Anniversary  Celebration</t>
  </si>
  <si>
    <t>SUKKOT October 2026</t>
  </si>
  <si>
    <t>Y A</t>
  </si>
  <si>
    <t>Christmas Celebration</t>
  </si>
  <si>
    <t>New Years Eve</t>
  </si>
  <si>
    <t>NEW YEAR - WELCOME 2027!</t>
  </si>
  <si>
    <t>Israel sunday</t>
  </si>
  <si>
    <t>Sept 19</t>
  </si>
  <si>
    <t xml:space="preserve">Dec </t>
  </si>
  <si>
    <t>LAST UPDATED: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</si>
</sst>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m/d/yyyy"/>
    <numFmt numFmtId="165" formatCode="[$-409]d\-mmm"/>
    <numFmt numFmtId="166" formatCode="mm/dd/yy"/>
    <numFmt numFmtId="167" formatCode="mmmm&quot; - &quot;dd"/>
    <numFmt numFmtId="168" formatCode="d"/>
    <numFmt numFmtId="169" formatCode="mmm d"/>
    <numFmt numFmtId="170" formatCode="m/d"/>
  </numFmts>
  <fonts count="31">
    <font>
      <sz val="11.0"/>
      <color rgb="FF000000"/>
      <name val="Calibri"/>
      <scheme val="minor"/>
    </font>
    <font>
      <sz val="11.0"/>
      <color rgb="FF000000"/>
      <name val="Calibri"/>
    </font>
    <font>
      <b/>
      <sz val="25.0"/>
      <color rgb="FFFFFFFF"/>
      <name val="Calibri"/>
    </font>
    <font>
      <b/>
      <sz val="12.0"/>
      <color rgb="FF000000"/>
      <name val="Arial"/>
    </font>
    <font/>
    <font>
      <b/>
      <sz val="23.0"/>
      <color rgb="FFFFFFFF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b/>
      <sz val="11.0"/>
      <color rgb="FFC00000"/>
      <name val="Calibri"/>
    </font>
    <font>
      <b/>
      <sz val="15.0"/>
      <color theme="1"/>
      <name val="Calibri"/>
    </font>
    <font>
      <b/>
      <sz val="14.0"/>
      <color rgb="FF000000"/>
      <name val="Calibri"/>
    </font>
    <font>
      <sz val="15.0"/>
      <color theme="1"/>
      <name val="Calibri"/>
    </font>
    <font>
      <sz val="14.0"/>
      <color rgb="FF000000"/>
      <name val="Calibri"/>
    </font>
    <font>
      <sz val="11.0"/>
      <color rgb="FFFFFF00"/>
      <name val="Calibri"/>
    </font>
    <font>
      <b/>
      <sz val="10.0"/>
      <color rgb="FF000000"/>
      <name val="Arial"/>
    </font>
    <font>
      <sz val="11.0"/>
      <color theme="1"/>
      <name val="Calibri"/>
    </font>
    <font>
      <sz val="36.0"/>
      <color rgb="FF000000"/>
      <name val="Calibri"/>
    </font>
    <font>
      <sz val="20.0"/>
      <color rgb="FF000000"/>
      <name val="Calibri"/>
    </font>
    <font>
      <sz val="11.0"/>
      <color rgb="FF1F3864"/>
      <name val="Calibri"/>
    </font>
    <font>
      <b/>
      <sz val="20.0"/>
      <color rgb="FFFFFFFF"/>
      <name val="Calibri"/>
    </font>
    <font>
      <sz val="36.0"/>
      <color rgb="FFFFFFFF"/>
      <name val="Calibri"/>
    </font>
    <font>
      <b/>
      <sz val="36.0"/>
      <color rgb="FFFFFFFF"/>
      <name val="Calibri"/>
    </font>
    <font>
      <b/>
      <sz val="36.0"/>
      <color rgb="FF000000"/>
      <name val="Calibri"/>
    </font>
    <font>
      <sz val="47.0"/>
      <color rgb="FF1F3864"/>
      <name val="Calibri"/>
    </font>
    <font>
      <b/>
      <sz val="47.0"/>
      <color rgb="FF1F3864"/>
      <name val="Calibri"/>
    </font>
    <font>
      <b/>
      <sz val="11.0"/>
      <color rgb="FF1F3864"/>
      <name val="Calibri"/>
    </font>
    <font>
      <sz val="11.0"/>
      <color rgb="FF006100"/>
      <name val="Calibri"/>
    </font>
    <font>
      <b/>
      <sz val="17.0"/>
      <color rgb="FFFFFFFF"/>
      <name val="Calibri"/>
    </font>
    <font>
      <sz val="11.0"/>
      <color rgb="FFFF0000"/>
      <name val="Calibri"/>
    </font>
    <font>
      <b/>
      <sz val="17.0"/>
      <color rgb="FF00206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E4E79"/>
        <bgColor rgb="FF1E4E79"/>
      </patternFill>
    </fill>
    <fill>
      <patternFill patternType="solid">
        <fgColor rgb="FF2F5496"/>
        <bgColor rgb="FF2F5496"/>
      </patternFill>
    </fill>
    <fill>
      <patternFill patternType="solid">
        <fgColor rgb="FFC00000"/>
        <bgColor rgb="FFC00000"/>
      </patternFill>
    </fill>
    <fill>
      <patternFill patternType="solid">
        <fgColor rgb="FF2B9940"/>
        <bgColor rgb="FF2B994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6DCE4"/>
        <bgColor rgb="FFD6DCE4"/>
      </patternFill>
    </fill>
    <fill>
      <patternFill patternType="solid">
        <fgColor rgb="FFF3F3F3"/>
        <bgColor rgb="FFF3F3F3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thin">
        <color rgb="FF548135"/>
      </bottom>
    </border>
    <border>
      <top style="double">
        <color rgb="FF000000"/>
      </top>
      <bottom style="thin">
        <color rgb="FF548135"/>
      </bottom>
    </border>
    <border>
      <right style="double">
        <color rgb="FF000000"/>
      </right>
      <top style="double">
        <color rgb="FF000000"/>
      </top>
      <bottom style="thin">
        <color rgb="FF548135"/>
      </bottom>
    </border>
    <border>
      <left style="double">
        <color rgb="FF000000"/>
      </left>
      <right style="thin">
        <color rgb="FF7F7F7F"/>
      </right>
      <top/>
      <bottom style="double">
        <color rgb="FF000000"/>
      </bottom>
    </border>
    <border>
      <left style="thin">
        <color rgb="FF7F7F7F"/>
      </left>
      <right style="thin">
        <color rgb="FF7F7F7F"/>
      </right>
      <top/>
      <bottom style="double">
        <color rgb="FF000000"/>
      </bottom>
    </border>
    <border>
      <left style="thin">
        <color rgb="FF7F7F7F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thin">
        <color rgb="FF548135"/>
      </right>
      <top style="double">
        <color rgb="FF000000"/>
      </top>
      <bottom style="thin">
        <color rgb="FF548135"/>
      </bottom>
    </border>
    <border>
      <left style="thin">
        <color rgb="FF548135"/>
      </left>
      <right style="thin">
        <color rgb="FF548135"/>
      </right>
      <top style="double">
        <color rgb="FF000000"/>
      </top>
      <bottom style="thin">
        <color rgb="FF548135"/>
      </bottom>
    </border>
    <border>
      <left style="thin">
        <color rgb="FF548135"/>
      </left>
      <right style="double">
        <color rgb="FF000000"/>
      </right>
      <top style="double">
        <color rgb="FF000000"/>
      </top>
      <bottom style="thin">
        <color rgb="FF548135"/>
      </bottom>
    </border>
    <border>
      <left style="double">
        <color rgb="FF000000"/>
      </left>
      <right style="thin">
        <color rgb="FF548135"/>
      </right>
      <top style="thin">
        <color rgb="FF548135"/>
      </top>
      <bottom style="thin">
        <color rgb="FF548135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</border>
    <border>
      <left style="thin">
        <color rgb="FF548135"/>
      </left>
      <right style="double">
        <color rgb="FF000000"/>
      </right>
      <top style="thin">
        <color rgb="FF548135"/>
      </top>
      <bottom style="thin">
        <color rgb="FF548135"/>
      </bottom>
    </border>
    <border>
      <left style="double">
        <color rgb="FF000000"/>
      </left>
      <right style="thin">
        <color rgb="FF548135"/>
      </right>
      <top style="thin">
        <color rgb="FF548135"/>
      </top>
      <bottom style="double">
        <color rgb="FF000000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double">
        <color rgb="FF000000"/>
      </bottom>
    </border>
    <border>
      <left style="thin">
        <color rgb="FF548135"/>
      </left>
      <right style="double">
        <color rgb="FF000000"/>
      </right>
      <top style="thin">
        <color rgb="FF548135"/>
      </top>
      <bottom style="double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6" fillId="4" fontId="7" numFmtId="0" xfId="0" applyAlignment="1" applyBorder="1" applyFill="1" applyFont="1">
      <alignment horizontal="center" shrinkToFit="0" wrapText="1"/>
    </xf>
    <xf borderId="6" fillId="5" fontId="7" numFmtId="0" xfId="0" applyAlignment="1" applyBorder="1" applyFill="1" applyFont="1">
      <alignment horizontal="center" shrinkToFit="0" wrapText="1"/>
    </xf>
    <xf borderId="8" fillId="2" fontId="8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/>
    </xf>
    <xf borderId="6" fillId="6" fontId="7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6" fillId="7" fontId="9" numFmtId="0" xfId="0" applyAlignment="1" applyBorder="1" applyFill="1" applyFont="1">
      <alignment horizontal="center" shrinkToFit="0" wrapText="1"/>
    </xf>
    <xf borderId="9" fillId="0" fontId="4" numFmtId="0" xfId="0" applyBorder="1" applyFont="1"/>
    <xf borderId="6" fillId="0" fontId="6" numFmtId="0" xfId="0" applyAlignment="1" applyBorder="1" applyFont="1">
      <alignment horizontal="center" shrinkToFit="0" wrapText="1"/>
    </xf>
    <xf borderId="10" fillId="0" fontId="4" numFmtId="0" xfId="0" applyBorder="1" applyFont="1"/>
    <xf borderId="0" fillId="0" fontId="1" numFmtId="0" xfId="0" applyAlignment="1" applyFont="1">
      <alignment horizontal="center"/>
    </xf>
    <xf borderId="8" fillId="2" fontId="7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6" fillId="4" fontId="7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bottom"/>
    </xf>
    <xf borderId="16" fillId="5" fontId="7" numFmtId="0" xfId="0" applyAlignment="1" applyBorder="1" applyFill="1" applyFont="1">
      <alignment horizontal="center" shrinkToFit="0" wrapText="1"/>
    </xf>
    <xf borderId="16" fillId="6" fontId="7" numFmtId="0" xfId="0" applyAlignment="1" applyBorder="1" applyFill="1" applyFont="1">
      <alignment horizontal="center" shrinkToFit="0" wrapText="1"/>
    </xf>
    <xf borderId="16" fillId="7" fontId="9" numFmtId="0" xfId="0" applyAlignment="1" applyBorder="1" applyFill="1" applyFont="1">
      <alignment horizontal="center" shrinkToFit="0" wrapText="1"/>
    </xf>
    <xf borderId="7" fillId="0" fontId="10" numFmtId="0" xfId="0" applyAlignment="1" applyBorder="1" applyFont="1">
      <alignment vertical="bottom"/>
    </xf>
    <xf borderId="16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7" fillId="2" fontId="7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5" fillId="0" fontId="6" numFmtId="0" xfId="0" applyAlignment="1" applyBorder="1" applyFont="1">
      <alignment horizontal="center"/>
    </xf>
    <xf borderId="16" fillId="0" fontId="1" numFmtId="164" xfId="0" applyBorder="1" applyFont="1" applyNumberFormat="1"/>
    <xf borderId="6" fillId="0" fontId="11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center"/>
    </xf>
    <xf borderId="16" fillId="0" fontId="12" numFmtId="0" xfId="0" applyAlignment="1" applyBorder="1" applyFont="1">
      <alignment vertical="bottom"/>
    </xf>
    <xf borderId="15" fillId="0" fontId="12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/>
    </xf>
    <xf borderId="18" fillId="0" fontId="6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/>
    </xf>
    <xf borderId="6" fillId="0" fontId="1" numFmtId="0" xfId="0" applyBorder="1" applyFont="1"/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15" fillId="0" fontId="12" numFmtId="0" xfId="0" applyAlignment="1" applyBorder="1" applyFont="1">
      <alignment vertical="bottom"/>
    </xf>
    <xf borderId="17" fillId="0" fontId="6" numFmtId="0" xfId="0" applyAlignment="1" applyBorder="1" applyFont="1">
      <alignment horizontal="center" vertical="center"/>
    </xf>
    <xf borderId="19" fillId="2" fontId="14" numFmtId="0" xfId="0" applyAlignment="1" applyBorder="1" applyFill="1" applyFont="1">
      <alignment horizontal="center"/>
    </xf>
    <xf borderId="17" fillId="0" fontId="6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readingOrder="0" vertical="bottom"/>
    </xf>
    <xf borderId="0" fillId="0" fontId="15" numFmtId="0" xfId="0" applyAlignment="1" applyFont="1">
      <alignment horizontal="center"/>
    </xf>
    <xf borderId="15" fillId="0" fontId="16" numFmtId="0" xfId="0" applyAlignment="1" applyBorder="1" applyFont="1">
      <alignment vertical="bottom"/>
    </xf>
    <xf borderId="6" fillId="7" fontId="1" numFmtId="165" xfId="0" applyAlignment="1" applyBorder="1" applyFill="1" applyFont="1" applyNumberFormat="1">
      <alignment horizontal="center" readingOrder="0"/>
    </xf>
    <xf borderId="6" fillId="7" fontId="1" numFmtId="0" xfId="0" applyAlignment="1" applyBorder="1" applyFill="1" applyFont="1">
      <alignment horizontal="center" readingOrder="0"/>
    </xf>
    <xf borderId="20" fillId="7" fontId="1" numFmtId="0" xfId="0" applyAlignment="1" applyBorder="1" applyFill="1" applyFont="1">
      <alignment horizontal="center" readingOrder="0"/>
    </xf>
    <xf borderId="0" fillId="0" fontId="16" numFmtId="0" xfId="0" applyAlignment="1" applyFont="1">
      <alignment vertical="bottom"/>
    </xf>
    <xf borderId="6" fillId="7" fontId="1" numFmtId="0" xfId="0" applyAlignment="1" applyBorder="1" applyFill="1" applyFont="1">
      <alignment horizontal="center"/>
    </xf>
    <xf borderId="6" fillId="2" fontId="14" numFmtId="0" xfId="0" applyAlignment="1" applyBorder="1" applyFill="1" applyFont="1">
      <alignment horizontal="center"/>
    </xf>
    <xf borderId="7" fillId="0" fontId="10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0" fillId="0" fontId="15" numFmtId="0" xfId="0" applyFont="1"/>
    <xf borderId="0" fillId="0" fontId="17" numFmtId="0" xfId="0" applyFont="1"/>
    <xf borderId="6" fillId="7" fontId="1" numFmtId="165" xfId="0" applyAlignment="1" applyBorder="1" applyFill="1" applyFont="1" applyNumberFormat="1">
      <alignment horizontal="center"/>
    </xf>
    <xf borderId="6" fillId="8" fontId="18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 readingOrder="0"/>
    </xf>
    <xf borderId="6" fillId="7" fontId="19" numFmtId="0" xfId="0" applyAlignment="1" applyBorder="1" applyFill="1" applyFont="1">
      <alignment horizontal="center" readingOrder="0"/>
    </xf>
    <xf borderId="6" fillId="9" fontId="1" numFmtId="0" xfId="0" applyAlignment="1" applyBorder="1" applyFill="1" applyFont="1">
      <alignment horizontal="center"/>
    </xf>
    <xf borderId="6" fillId="4" fontId="20" numFmtId="0" xfId="0" applyAlignment="1" applyBorder="1" applyFill="1" applyFont="1">
      <alignment horizontal="center" readingOrder="0"/>
    </xf>
    <xf borderId="2" fillId="9" fontId="1" numFmtId="0" xfId="0" applyBorder="1" applyFill="1" applyFont="1"/>
    <xf borderId="21" fillId="7" fontId="18" numFmtId="0" xfId="0" applyBorder="1" applyFill="1" applyFont="1"/>
    <xf borderId="19" fillId="7" fontId="1" numFmtId="165" xfId="0" applyAlignment="1" applyBorder="1" applyFill="1" applyFont="1" applyNumberFormat="1">
      <alignment horizontal="center"/>
    </xf>
    <xf borderId="6" fillId="4" fontId="20" numFmtId="0" xfId="0" applyAlignment="1" applyBorder="1" applyFill="1" applyFont="1">
      <alignment horizontal="center"/>
    </xf>
    <xf borderId="0" fillId="0" fontId="18" numFmtId="0" xfId="0" applyFont="1"/>
    <xf borderId="6" fillId="0" fontId="1" numFmtId="165" xfId="0" applyAlignment="1" applyBorder="1" applyFont="1" applyNumberFormat="1">
      <alignment horizontal="center"/>
    </xf>
    <xf borderId="0" fillId="0" fontId="21" numFmtId="166" xfId="0" applyFont="1" applyNumberFormat="1"/>
    <xf borderId="0" fillId="0" fontId="21" numFmtId="0" xfId="0" applyFont="1"/>
    <xf borderId="6" fillId="9" fontId="1" numFmtId="165" xfId="0" applyAlignment="1" applyBorder="1" applyFill="1" applyFont="1" applyNumberFormat="1">
      <alignment horizontal="center"/>
    </xf>
    <xf borderId="0" fillId="0" fontId="22" numFmtId="0" xfId="0" applyAlignment="1" applyFont="1">
      <alignment horizontal="center"/>
    </xf>
    <xf borderId="20" fillId="9" fontId="1" numFmtId="0" xfId="0" applyAlignment="1" applyBorder="1" applyFill="1" applyFont="1">
      <alignment horizontal="center"/>
    </xf>
    <xf borderId="0" fillId="0" fontId="23" numFmtId="0" xfId="0" applyAlignment="1" applyFont="1">
      <alignment horizontal="center"/>
    </xf>
    <xf borderId="19" fillId="7" fontId="1" numFmtId="0" xfId="0" applyAlignment="1" applyBorder="1" applyFill="1" applyFont="1">
      <alignment horizontal="center"/>
    </xf>
    <xf borderId="6" fillId="9" fontId="1" numFmtId="0" xfId="0" applyAlignment="1" applyBorder="1" applyFill="1" applyFont="1">
      <alignment horizontal="center" readingOrder="0"/>
    </xf>
    <xf borderId="0" fillId="0" fontId="24" numFmtId="0" xfId="0" applyFont="1"/>
    <xf borderId="22" fillId="7" fontId="25" numFmtId="167" xfId="0" applyAlignment="1" applyBorder="1" applyFill="1" applyFont="1" applyNumberFormat="1">
      <alignment horizontal="center" vertical="center"/>
    </xf>
    <xf borderId="23" fillId="0" fontId="4" numFmtId="0" xfId="0" applyBorder="1" applyFont="1"/>
    <xf borderId="6" fillId="9" fontId="26" numFmtId="0" xfId="0" applyAlignment="1" applyBorder="1" applyFill="1" applyFont="1">
      <alignment horizontal="center"/>
    </xf>
    <xf borderId="24" fillId="0" fontId="4" numFmtId="0" xfId="0" applyBorder="1" applyFont="1"/>
    <xf borderId="25" fillId="4" fontId="20" numFmtId="0" xfId="0" applyAlignment="1" applyBorder="1" applyFill="1" applyFont="1">
      <alignment horizontal="center"/>
    </xf>
    <xf borderId="26" fillId="4" fontId="20" numFmtId="0" xfId="0" applyAlignment="1" applyBorder="1" applyFill="1" applyFont="1">
      <alignment horizontal="center"/>
    </xf>
    <xf borderId="27" fillId="4" fontId="20" numFmtId="0" xfId="0" applyAlignment="1" applyBorder="1" applyFill="1" applyFont="1">
      <alignment horizontal="center"/>
    </xf>
    <xf borderId="6" fillId="7" fontId="27" numFmtId="165" xfId="0" applyAlignment="1" applyBorder="1" applyFill="1" applyFont="1" applyNumberFormat="1">
      <alignment horizontal="center"/>
    </xf>
    <xf borderId="28" fillId="0" fontId="18" numFmtId="168" xfId="0" applyAlignment="1" applyBorder="1" applyFont="1" applyNumberFormat="1">
      <alignment horizontal="center" vertical="center"/>
    </xf>
    <xf borderId="29" fillId="0" fontId="18" numFmtId="168" xfId="0" applyAlignment="1" applyBorder="1" applyFont="1" applyNumberFormat="1">
      <alignment horizontal="center" vertical="center"/>
    </xf>
    <xf borderId="6" fillId="10" fontId="1" numFmtId="165" xfId="0" applyAlignment="1" applyBorder="1" applyFill="1" applyFont="1" applyNumberFormat="1">
      <alignment horizontal="center"/>
    </xf>
    <xf borderId="30" fillId="0" fontId="18" numFmtId="168" xfId="0" applyAlignment="1" applyBorder="1" applyFont="1" applyNumberFormat="1">
      <alignment horizontal="center" vertical="center"/>
    </xf>
    <xf borderId="6" fillId="0" fontId="16" numFmtId="165" xfId="0" applyAlignment="1" applyBorder="1" applyFont="1" applyNumberFormat="1">
      <alignment horizontal="center"/>
    </xf>
    <xf borderId="6" fillId="7" fontId="1" numFmtId="165" xfId="0" applyAlignment="1" applyBorder="1" applyFill="1" applyFont="1" applyNumberFormat="1">
      <alignment horizontal="center" vertical="center"/>
    </xf>
    <xf borderId="31" fillId="0" fontId="18" numFmtId="168" xfId="0" applyAlignment="1" applyBorder="1" applyFont="1" applyNumberFormat="1">
      <alignment horizontal="center" vertical="center"/>
    </xf>
    <xf borderId="6" fillId="9" fontId="27" numFmtId="165" xfId="0" applyAlignment="1" applyBorder="1" applyFill="1" applyFont="1" applyNumberFormat="1">
      <alignment horizontal="center"/>
    </xf>
    <xf borderId="32" fillId="0" fontId="18" numFmtId="168" xfId="0" applyAlignment="1" applyBorder="1" applyFont="1" applyNumberFormat="1">
      <alignment horizontal="center" vertical="center"/>
    </xf>
    <xf borderId="33" fillId="0" fontId="18" numFmtId="168" xfId="0" applyAlignment="1" applyBorder="1" applyFont="1" applyNumberFormat="1">
      <alignment horizontal="center" vertical="center"/>
    </xf>
    <xf borderId="20" fillId="7" fontId="1" numFmtId="0" xfId="0" applyAlignment="1" applyBorder="1" applyFill="1" applyFont="1">
      <alignment horizontal="center"/>
    </xf>
    <xf borderId="11" fillId="0" fontId="6" numFmtId="165" xfId="0" applyAlignment="1" applyBorder="1" applyFont="1" applyNumberFormat="1">
      <alignment horizontal="left"/>
    </xf>
    <xf borderId="1" fillId="4" fontId="28" numFmtId="0" xfId="0" applyAlignment="1" applyBorder="1" applyFill="1" applyFont="1">
      <alignment horizontal="center" readingOrder="0" vertical="center"/>
    </xf>
    <xf borderId="16" fillId="0" fontId="6" numFmtId="0" xfId="0" applyAlignment="1" applyBorder="1" applyFont="1">
      <alignment horizontal="center"/>
    </xf>
    <xf borderId="6" fillId="0" fontId="6" numFmtId="165" xfId="0" applyAlignment="1" applyBorder="1" applyFont="1" applyNumberFormat="1">
      <alignment horizontal="center"/>
    </xf>
    <xf borderId="6" fillId="7" fontId="16" numFmtId="165" xfId="0" applyAlignment="1" applyBorder="1" applyFill="1" applyFont="1" applyNumberFormat="1">
      <alignment horizontal="center"/>
    </xf>
    <xf borderId="1" fillId="0" fontId="6" numFmtId="0" xfId="0" applyAlignment="1" applyBorder="1" applyFont="1">
      <alignment horizontal="left"/>
    </xf>
    <xf borderId="34" fillId="0" fontId="18" numFmtId="168" xfId="0" applyAlignment="1" applyBorder="1" applyFont="1" applyNumberFormat="1">
      <alignment horizontal="center" vertical="center"/>
    </xf>
    <xf borderId="6" fillId="9" fontId="16" numFmtId="165" xfId="0" applyAlignment="1" applyBorder="1" applyFill="1" applyFont="1" applyNumberFormat="1">
      <alignment horizontal="center"/>
    </xf>
    <xf borderId="6" fillId="9" fontId="16" numFmtId="0" xfId="0" applyAlignment="1" applyBorder="1" applyFill="1" applyFont="1">
      <alignment horizontal="center"/>
    </xf>
    <xf borderId="35" fillId="0" fontId="18" numFmtId="168" xfId="0" applyAlignment="1" applyBorder="1" applyFont="1" applyNumberFormat="1">
      <alignment horizontal="center" vertical="center"/>
    </xf>
    <xf borderId="36" fillId="0" fontId="18" numFmtId="168" xfId="0" applyAlignment="1" applyBorder="1" applyFont="1" applyNumberFormat="1">
      <alignment horizontal="center" vertical="center"/>
    </xf>
    <xf borderId="0" fillId="0" fontId="29" numFmtId="0" xfId="0" applyFont="1"/>
    <xf borderId="1" fillId="11" fontId="30" numFmtId="0" xfId="0" applyAlignment="1" applyBorder="1" applyFill="1" applyFont="1">
      <alignment horizontal="center" readingOrder="0" vertical="center"/>
    </xf>
    <xf borderId="6" fillId="7" fontId="1" numFmtId="165" xfId="0" applyBorder="1" applyFill="1" applyFont="1" applyNumberFormat="1"/>
    <xf borderId="6" fillId="7" fontId="16" numFmtId="0" xfId="0" applyAlignment="1" applyBorder="1" applyFill="1" applyFont="1">
      <alignment horizontal="center" readingOrder="0"/>
    </xf>
    <xf borderId="6" fillId="7" fontId="1" numFmtId="0" xfId="0" applyBorder="1" applyFill="1" applyFont="1"/>
    <xf borderId="1" fillId="0" fontId="6" numFmtId="165" xfId="0" applyAlignment="1" applyBorder="1" applyFont="1" applyNumberFormat="1">
      <alignment horizontal="left"/>
    </xf>
    <xf borderId="6" fillId="0" fontId="6" numFmtId="0" xfId="0" applyBorder="1" applyFont="1"/>
    <xf borderId="6" fillId="7" fontId="1" numFmtId="0" xfId="0" applyAlignment="1" applyBorder="1" applyFill="1" applyFont="1">
      <alignment readingOrder="0"/>
    </xf>
    <xf borderId="6" fillId="0" fontId="6" numFmtId="165" xfId="0" applyBorder="1" applyFont="1" applyNumberFormat="1"/>
    <xf borderId="6" fillId="7" fontId="1" numFmtId="169" xfId="0" applyAlignment="1" applyBorder="1" applyFill="1" applyFont="1" applyNumberFormat="1">
      <alignment readingOrder="0"/>
    </xf>
    <xf borderId="21" fillId="12" fontId="1" numFmtId="0" xfId="0" applyBorder="1" applyFill="1" applyFont="1"/>
    <xf borderId="21" fillId="12" fontId="1" numFmtId="170" xfId="0" applyAlignment="1" applyBorder="1" applyFill="1" applyFont="1" applyNumberFormat="1">
      <alignment readingOrder="0"/>
    </xf>
    <xf borderId="0" fillId="0" fontId="1" numFmtId="165" xfId="0" applyFont="1" applyNumberFormat="1"/>
    <xf borderId="0" fillId="0" fontId="6" numFmtId="0" xfId="0" applyFont="1"/>
  </cellXfs>
  <cellStyles count="1">
    <cellStyle xfId="0" name="Normal" builtinId="0"/>
  </cellStyles>
  <dxfs count="1">
    <dxf>
      <font>
        <color rgb="FF385623"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0.43"/>
    <col customWidth="1" min="2" max="2" width="9.43"/>
    <col customWidth="1" min="3" max="3" width="19.0"/>
    <col customWidth="1" min="4" max="4" width="17.71"/>
    <col customWidth="1" min="5" max="5" width="19.43"/>
    <col customWidth="1" min="6" max="6" width="10.57"/>
    <col customWidth="1" min="7" max="7" width="14.71"/>
    <col customWidth="1" min="8" max="8" width="18.86"/>
    <col customWidth="1" min="9" max="9" width="13.14"/>
    <col customWidth="1" min="10" max="10" width="9.43"/>
    <col customWidth="1" min="11" max="11" width="15.57"/>
    <col customWidth="1" min="12" max="12" width="17.0"/>
    <col customWidth="1" min="13" max="13" width="12.14"/>
    <col customWidth="1" min="14" max="14" width="13.14"/>
    <col customWidth="1" min="15" max="16" width="9.43"/>
    <col customWidth="1" min="17" max="26" width="8.71"/>
  </cols>
  <sheetData>
    <row r="1">
      <c r="A1" s="1"/>
      <c r="B1" s="6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13"/>
      <c r="P1" s="15"/>
    </row>
    <row r="2">
      <c r="A2" s="1"/>
      <c r="B2" s="17"/>
      <c r="N2" s="19"/>
      <c r="O2" s="1"/>
      <c r="P2" s="20"/>
    </row>
    <row r="3">
      <c r="A3" s="1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6"/>
      <c r="O3" s="1"/>
      <c r="P3" s="20"/>
    </row>
    <row r="4">
      <c r="A4" s="1"/>
      <c r="B4" s="29" t="s">
        <v>9</v>
      </c>
      <c r="C4" s="36" t="s">
        <v>10</v>
      </c>
      <c r="D4" s="7"/>
      <c r="E4" s="7"/>
      <c r="F4" s="9"/>
      <c r="G4" s="36" t="s">
        <v>15</v>
      </c>
      <c r="H4" s="39" t="s">
        <v>16</v>
      </c>
      <c r="I4" s="39" t="s">
        <v>18</v>
      </c>
      <c r="J4" s="39" t="s">
        <v>19</v>
      </c>
      <c r="K4" s="42" t="s">
        <v>21</v>
      </c>
      <c r="L4" s="8" t="s">
        <v>25</v>
      </c>
      <c r="M4" s="8" t="s">
        <v>26</v>
      </c>
      <c r="N4" s="42" t="s">
        <v>27</v>
      </c>
      <c r="O4" s="1"/>
      <c r="P4" s="20"/>
    </row>
    <row r="5">
      <c r="A5" s="1"/>
      <c r="B5" s="45"/>
      <c r="C5" s="47" t="s">
        <v>31</v>
      </c>
      <c r="D5" s="47" t="s">
        <v>34</v>
      </c>
      <c r="E5" s="51" t="s">
        <v>35</v>
      </c>
      <c r="F5" s="52" t="s">
        <v>37</v>
      </c>
      <c r="G5" s="47" t="s">
        <v>11</v>
      </c>
      <c r="H5" s="47" t="s">
        <v>13</v>
      </c>
      <c r="I5" s="47" t="s">
        <v>20</v>
      </c>
      <c r="J5" s="45" t="s">
        <v>14</v>
      </c>
      <c r="K5" s="42"/>
      <c r="L5" s="8"/>
      <c r="M5" s="8"/>
      <c r="N5" s="42"/>
      <c r="O5" s="1"/>
      <c r="P5" s="20"/>
    </row>
    <row r="6">
      <c r="A6" s="1"/>
      <c r="B6" s="45"/>
      <c r="C6" s="47"/>
      <c r="D6" s="47"/>
      <c r="E6" s="56"/>
      <c r="F6" s="57"/>
      <c r="G6" s="47"/>
      <c r="H6" s="47"/>
      <c r="I6" s="60" t="s">
        <v>49</v>
      </c>
      <c r="J6" s="45"/>
      <c r="K6" s="60"/>
      <c r="L6" s="62"/>
      <c r="M6" s="62"/>
      <c r="N6" s="60"/>
      <c r="O6" s="1"/>
      <c r="P6" s="20"/>
    </row>
    <row r="7">
      <c r="A7" s="1"/>
      <c r="B7" s="66">
        <v>46026.0</v>
      </c>
      <c r="C7" s="67" t="s">
        <v>58</v>
      </c>
      <c r="D7" s="67" t="s">
        <v>29</v>
      </c>
      <c r="E7" s="67" t="s">
        <v>60</v>
      </c>
      <c r="F7" s="68" t="s">
        <v>62</v>
      </c>
      <c r="G7" s="67" t="s">
        <v>65</v>
      </c>
      <c r="H7" s="67" t="s">
        <v>30</v>
      </c>
      <c r="I7" s="70" t="s">
        <v>33</v>
      </c>
      <c r="J7" s="70" t="s">
        <v>46</v>
      </c>
      <c r="K7" s="70" t="s">
        <v>2</v>
      </c>
      <c r="L7" s="70" t="s">
        <v>67</v>
      </c>
      <c r="M7" s="67" t="s">
        <v>36</v>
      </c>
      <c r="N7" s="60"/>
      <c r="O7" s="1"/>
      <c r="P7" s="20"/>
    </row>
    <row r="8">
      <c r="A8" s="1"/>
      <c r="B8" s="77">
        <f t="shared" ref="B8:B10" si="1">+B7+7</f>
        <v>46033</v>
      </c>
      <c r="C8" s="67" t="s">
        <v>72</v>
      </c>
      <c r="D8" s="70" t="s">
        <v>38</v>
      </c>
      <c r="E8" s="67" t="s">
        <v>73</v>
      </c>
      <c r="F8" s="68" t="s">
        <v>62</v>
      </c>
      <c r="G8" s="67" t="s">
        <v>43</v>
      </c>
      <c r="H8" s="77" t="s">
        <v>45</v>
      </c>
      <c r="I8" s="70" t="s">
        <v>29</v>
      </c>
      <c r="J8" s="70" t="s">
        <v>32</v>
      </c>
      <c r="K8" s="70" t="s">
        <v>4</v>
      </c>
      <c r="L8" s="67" t="s">
        <v>75</v>
      </c>
      <c r="M8" s="67" t="s">
        <v>56</v>
      </c>
      <c r="N8" s="60"/>
      <c r="O8" s="1"/>
      <c r="P8" s="20"/>
    </row>
    <row r="9">
      <c r="A9" s="1"/>
      <c r="B9" s="77">
        <f t="shared" si="1"/>
        <v>46040</v>
      </c>
      <c r="C9" s="79" t="s">
        <v>74</v>
      </c>
      <c r="D9" s="70" t="s">
        <v>33</v>
      </c>
      <c r="E9" s="79" t="s">
        <v>72</v>
      </c>
      <c r="F9" s="68" t="s">
        <v>62</v>
      </c>
      <c r="G9" s="58" t="s">
        <v>28</v>
      </c>
      <c r="H9" s="67" t="s">
        <v>38</v>
      </c>
      <c r="I9" s="70" t="s">
        <v>44</v>
      </c>
      <c r="J9" s="67" t="s">
        <v>50</v>
      </c>
      <c r="K9" s="70" t="s">
        <v>5</v>
      </c>
      <c r="L9" s="70" t="s">
        <v>67</v>
      </c>
      <c r="M9" s="80" t="s">
        <v>79</v>
      </c>
      <c r="N9" s="60"/>
      <c r="O9" s="1"/>
      <c r="P9" s="20"/>
    </row>
    <row r="10">
      <c r="A10" s="1"/>
      <c r="B10" s="77">
        <f t="shared" si="1"/>
        <v>46047</v>
      </c>
      <c r="C10" s="67" t="s">
        <v>80</v>
      </c>
      <c r="D10" s="67" t="s">
        <v>28</v>
      </c>
      <c r="E10" s="67" t="s">
        <v>81</v>
      </c>
      <c r="F10" s="68" t="s">
        <v>62</v>
      </c>
      <c r="G10" s="67" t="s">
        <v>54</v>
      </c>
      <c r="H10" s="70" t="s">
        <v>32</v>
      </c>
      <c r="I10" s="70" t="s">
        <v>29</v>
      </c>
      <c r="J10" s="67" t="s">
        <v>65</v>
      </c>
      <c r="K10" s="70" t="s">
        <v>82</v>
      </c>
      <c r="L10" s="70" t="s">
        <v>76</v>
      </c>
      <c r="M10" s="80" t="s">
        <v>24</v>
      </c>
      <c r="N10" s="60"/>
      <c r="O10" s="1"/>
      <c r="P10" s="20"/>
    </row>
    <row r="11">
      <c r="A11" s="1"/>
      <c r="B11" s="81"/>
      <c r="C11" s="81"/>
      <c r="D11" s="81"/>
      <c r="E11" s="83"/>
      <c r="F11" s="5"/>
      <c r="G11" s="81"/>
      <c r="H11" s="81"/>
      <c r="I11" s="81"/>
      <c r="J11" s="81"/>
      <c r="K11" s="81"/>
      <c r="L11" s="81"/>
      <c r="M11" s="81"/>
      <c r="N11" s="81"/>
      <c r="O11" s="1"/>
      <c r="P11" s="20"/>
    </row>
    <row r="12">
      <c r="A12" s="1"/>
      <c r="B12" s="85">
        <f>+B10+7</f>
        <v>46054</v>
      </c>
      <c r="C12" s="67" t="s">
        <v>55</v>
      </c>
      <c r="D12" s="67" t="s">
        <v>29</v>
      </c>
      <c r="E12" s="67" t="s">
        <v>60</v>
      </c>
      <c r="F12" s="68" t="s">
        <v>62</v>
      </c>
      <c r="G12" s="67" t="s">
        <v>48</v>
      </c>
      <c r="H12" s="77" t="s">
        <v>45</v>
      </c>
      <c r="I12" s="70" t="s">
        <v>33</v>
      </c>
      <c r="J12" s="70" t="s">
        <v>46</v>
      </c>
      <c r="K12" s="70" t="s">
        <v>2</v>
      </c>
      <c r="L12" s="77" t="s">
        <v>67</v>
      </c>
      <c r="M12" s="80" t="s">
        <v>87</v>
      </c>
      <c r="N12" s="60"/>
      <c r="O12" s="1"/>
      <c r="P12" s="20"/>
    </row>
    <row r="13">
      <c r="A13" s="1"/>
      <c r="B13" s="77">
        <f t="shared" ref="B13:B15" si="2">+B12+7</f>
        <v>46061</v>
      </c>
      <c r="C13" s="67" t="s">
        <v>72</v>
      </c>
      <c r="D13" s="67" t="s">
        <v>28</v>
      </c>
      <c r="E13" s="67" t="s">
        <v>73</v>
      </c>
      <c r="F13" s="68" t="s">
        <v>62</v>
      </c>
      <c r="G13" s="67" t="s">
        <v>38</v>
      </c>
      <c r="H13" s="67" t="s">
        <v>39</v>
      </c>
      <c r="I13" s="67" t="s">
        <v>51</v>
      </c>
      <c r="J13" s="67" t="s">
        <v>84</v>
      </c>
      <c r="K13" s="70" t="s">
        <v>4</v>
      </c>
      <c r="L13" s="67" t="s">
        <v>90</v>
      </c>
      <c r="M13" s="80" t="s">
        <v>91</v>
      </c>
      <c r="N13" s="60"/>
      <c r="O13" s="1"/>
      <c r="P13" s="20"/>
    </row>
    <row r="14">
      <c r="A14" s="1"/>
      <c r="B14" s="77">
        <f t="shared" si="2"/>
        <v>46068</v>
      </c>
      <c r="C14" s="67" t="s">
        <v>51</v>
      </c>
      <c r="D14" s="70" t="s">
        <v>33</v>
      </c>
      <c r="E14" s="79" t="s">
        <v>65</v>
      </c>
      <c r="F14" s="68" t="s">
        <v>62</v>
      </c>
      <c r="G14" s="58" t="s">
        <v>28</v>
      </c>
      <c r="H14" s="67" t="s">
        <v>38</v>
      </c>
      <c r="I14" s="70" t="s">
        <v>44</v>
      </c>
      <c r="J14" s="67" t="s">
        <v>50</v>
      </c>
      <c r="K14" s="70" t="s">
        <v>5</v>
      </c>
      <c r="L14" s="77" t="s">
        <v>67</v>
      </c>
      <c r="M14" s="80" t="s">
        <v>47</v>
      </c>
      <c r="N14" s="60"/>
      <c r="O14" s="1"/>
      <c r="P14" s="1"/>
    </row>
    <row r="15">
      <c r="A15" s="1"/>
      <c r="B15" s="77">
        <f t="shared" si="2"/>
        <v>46075</v>
      </c>
      <c r="C15" s="67" t="s">
        <v>58</v>
      </c>
      <c r="D15" s="70" t="s">
        <v>38</v>
      </c>
      <c r="E15" s="67" t="s">
        <v>81</v>
      </c>
      <c r="F15" s="68" t="s">
        <v>62</v>
      </c>
      <c r="G15" s="67" t="s">
        <v>54</v>
      </c>
      <c r="H15" s="67" t="s">
        <v>30</v>
      </c>
      <c r="I15" s="70" t="s">
        <v>29</v>
      </c>
      <c r="J15" s="70" t="s">
        <v>32</v>
      </c>
      <c r="K15" s="70" t="s">
        <v>82</v>
      </c>
      <c r="L15" s="67" t="s">
        <v>92</v>
      </c>
      <c r="M15" s="67" t="s">
        <v>56</v>
      </c>
      <c r="N15" s="60"/>
      <c r="O15" s="1"/>
      <c r="P15" s="1"/>
    </row>
    <row r="16">
      <c r="A16" s="1"/>
      <c r="B16" s="91"/>
      <c r="C16" s="81"/>
      <c r="D16" s="81"/>
      <c r="E16" s="81"/>
      <c r="F16" s="93"/>
      <c r="G16" s="81"/>
      <c r="H16" s="81"/>
      <c r="I16" s="81"/>
      <c r="J16" s="81"/>
      <c r="K16" s="81"/>
      <c r="L16" s="81"/>
      <c r="M16" s="81"/>
      <c r="N16" s="81"/>
      <c r="O16" s="1"/>
      <c r="P16" s="1"/>
    </row>
    <row r="17">
      <c r="A17" s="1"/>
      <c r="B17" s="77">
        <f>+B15+7</f>
        <v>46082</v>
      </c>
      <c r="C17" s="67" t="s">
        <v>72</v>
      </c>
      <c r="D17" s="67" t="s">
        <v>28</v>
      </c>
      <c r="E17" s="67" t="s">
        <v>65</v>
      </c>
      <c r="F17" s="68" t="s">
        <v>62</v>
      </c>
      <c r="G17" s="67" t="s">
        <v>43</v>
      </c>
      <c r="H17" s="77" t="s">
        <v>45</v>
      </c>
      <c r="I17" s="70" t="s">
        <v>33</v>
      </c>
      <c r="J17" s="70" t="s">
        <v>46</v>
      </c>
      <c r="K17" s="95" t="s">
        <v>2</v>
      </c>
      <c r="L17" s="70" t="s">
        <v>67</v>
      </c>
      <c r="M17" s="67" t="s">
        <v>36</v>
      </c>
      <c r="N17" s="60"/>
      <c r="O17" s="1"/>
      <c r="P17" s="1"/>
    </row>
    <row r="18">
      <c r="A18" s="1"/>
      <c r="B18" s="77">
        <f t="shared" ref="B18:B21" si="3">+B17+7</f>
        <v>46089</v>
      </c>
      <c r="C18" s="79" t="s">
        <v>74</v>
      </c>
      <c r="D18" s="67" t="s">
        <v>29</v>
      </c>
      <c r="E18" s="67" t="s">
        <v>60</v>
      </c>
      <c r="F18" s="68" t="s">
        <v>62</v>
      </c>
      <c r="G18" s="58" t="s">
        <v>28</v>
      </c>
      <c r="H18" s="67" t="s">
        <v>38</v>
      </c>
      <c r="I18" s="70" t="s">
        <v>44</v>
      </c>
      <c r="J18" s="67" t="s">
        <v>50</v>
      </c>
      <c r="K18" s="70" t="s">
        <v>4</v>
      </c>
      <c r="L18" s="70" t="s">
        <v>67</v>
      </c>
      <c r="M18" s="80" t="s">
        <v>79</v>
      </c>
      <c r="N18" s="60"/>
      <c r="O18" s="1"/>
      <c r="P18" s="1"/>
    </row>
    <row r="19">
      <c r="A19" s="1"/>
      <c r="B19" s="77">
        <f t="shared" si="3"/>
        <v>46096</v>
      </c>
      <c r="C19" s="67" t="s">
        <v>80</v>
      </c>
      <c r="D19" s="70" t="s">
        <v>38</v>
      </c>
      <c r="E19" s="67" t="s">
        <v>73</v>
      </c>
      <c r="F19" s="68" t="s">
        <v>62</v>
      </c>
      <c r="G19" s="67" t="s">
        <v>43</v>
      </c>
      <c r="H19" s="67" t="s">
        <v>30</v>
      </c>
      <c r="I19" s="70" t="s">
        <v>29</v>
      </c>
      <c r="J19" s="70" t="s">
        <v>32</v>
      </c>
      <c r="K19" s="70" t="s">
        <v>5</v>
      </c>
      <c r="L19" s="70" t="s">
        <v>76</v>
      </c>
      <c r="M19" s="80" t="s">
        <v>24</v>
      </c>
      <c r="N19" s="60"/>
      <c r="O19" s="1"/>
      <c r="P19" s="1"/>
    </row>
    <row r="20">
      <c r="A20" s="1"/>
      <c r="B20" s="77">
        <f t="shared" si="3"/>
        <v>46103</v>
      </c>
      <c r="C20" s="67" t="s">
        <v>55</v>
      </c>
      <c r="D20" s="67" t="s">
        <v>65</v>
      </c>
      <c r="E20" s="67" t="s">
        <v>81</v>
      </c>
      <c r="F20" s="68" t="s">
        <v>62</v>
      </c>
      <c r="G20" s="67" t="s">
        <v>48</v>
      </c>
      <c r="H20" s="77" t="s">
        <v>45</v>
      </c>
      <c r="I20" s="70" t="s">
        <v>33</v>
      </c>
      <c r="J20" s="70" t="s">
        <v>46</v>
      </c>
      <c r="K20" s="70" t="s">
        <v>82</v>
      </c>
      <c r="L20" s="70" t="s">
        <v>67</v>
      </c>
      <c r="M20" s="80" t="s">
        <v>87</v>
      </c>
      <c r="N20" s="60"/>
      <c r="O20" s="1"/>
      <c r="P20" s="1"/>
    </row>
    <row r="21" ht="15.75" customHeight="1">
      <c r="A21" s="1"/>
      <c r="B21" s="88">
        <f t="shared" si="3"/>
        <v>46110</v>
      </c>
      <c r="C21" s="67" t="s">
        <v>51</v>
      </c>
      <c r="D21" s="70" t="s">
        <v>33</v>
      </c>
      <c r="E21" s="79" t="s">
        <v>72</v>
      </c>
      <c r="F21" s="68" t="s">
        <v>62</v>
      </c>
      <c r="G21" s="67" t="s">
        <v>54</v>
      </c>
      <c r="H21" s="70" t="s">
        <v>32</v>
      </c>
      <c r="I21" s="70" t="s">
        <v>29</v>
      </c>
      <c r="J21" s="67" t="s">
        <v>50</v>
      </c>
      <c r="K21" s="58" t="s">
        <v>94</v>
      </c>
      <c r="L21" s="70" t="s">
        <v>76</v>
      </c>
      <c r="M21" s="67" t="s">
        <v>57</v>
      </c>
      <c r="N21" s="79"/>
      <c r="O21" s="1"/>
      <c r="P21" s="1"/>
    </row>
    <row r="22" ht="15.75" customHeight="1">
      <c r="A22" s="1"/>
      <c r="B22" s="91"/>
      <c r="C22" s="81"/>
      <c r="D22" s="81"/>
      <c r="E22" s="81"/>
      <c r="F22" s="93"/>
      <c r="G22" s="81"/>
      <c r="H22" s="81"/>
      <c r="I22" s="81"/>
      <c r="J22" s="81"/>
      <c r="K22" s="81"/>
      <c r="L22" s="81"/>
      <c r="M22" s="100"/>
      <c r="N22" s="81"/>
      <c r="O22" s="1"/>
      <c r="P22" s="1"/>
    </row>
    <row r="23" ht="15.75" customHeight="1">
      <c r="A23" s="1"/>
      <c r="B23" s="77">
        <f>7+B21</f>
        <v>46117</v>
      </c>
      <c r="C23" s="67" t="s">
        <v>72</v>
      </c>
      <c r="D23" s="67" t="s">
        <v>28</v>
      </c>
      <c r="E23" s="67" t="s">
        <v>60</v>
      </c>
      <c r="F23" s="68" t="s">
        <v>62</v>
      </c>
      <c r="G23" s="67" t="s">
        <v>61</v>
      </c>
      <c r="H23" s="67" t="s">
        <v>39</v>
      </c>
      <c r="I23" s="67" t="s">
        <v>51</v>
      </c>
      <c r="J23" s="67" t="s">
        <v>84</v>
      </c>
      <c r="K23" s="95" t="s">
        <v>2</v>
      </c>
      <c r="L23" s="67" t="s">
        <v>90</v>
      </c>
      <c r="M23" s="80" t="s">
        <v>91</v>
      </c>
      <c r="N23" s="60"/>
      <c r="O23" s="1"/>
      <c r="P23" s="1"/>
    </row>
    <row r="24" ht="15.75" customHeight="1">
      <c r="A24" s="1"/>
      <c r="B24" s="77">
        <f t="shared" ref="B24:B26" si="4">+B23+7</f>
        <v>46124</v>
      </c>
      <c r="C24" s="67" t="s">
        <v>58</v>
      </c>
      <c r="D24" s="70" t="s">
        <v>38</v>
      </c>
      <c r="E24" s="67" t="s">
        <v>73</v>
      </c>
      <c r="F24" s="68" t="s">
        <v>62</v>
      </c>
      <c r="G24" s="67" t="s">
        <v>54</v>
      </c>
      <c r="H24" s="67" t="s">
        <v>30</v>
      </c>
      <c r="I24" s="70" t="s">
        <v>29</v>
      </c>
      <c r="J24" s="70" t="s">
        <v>32</v>
      </c>
      <c r="K24" s="70" t="s">
        <v>4</v>
      </c>
      <c r="L24" s="67" t="s">
        <v>92</v>
      </c>
      <c r="M24" s="67" t="s">
        <v>56</v>
      </c>
      <c r="N24" s="60"/>
      <c r="O24" s="1"/>
      <c r="P24" s="1"/>
    </row>
    <row r="25" ht="15.75" customHeight="1">
      <c r="A25" s="1"/>
      <c r="B25" s="77">
        <f t="shared" si="4"/>
        <v>46131</v>
      </c>
      <c r="C25" s="67" t="s">
        <v>74</v>
      </c>
      <c r="D25" s="67" t="s">
        <v>29</v>
      </c>
      <c r="E25" s="67" t="s">
        <v>65</v>
      </c>
      <c r="F25" s="68" t="s">
        <v>62</v>
      </c>
      <c r="G25" s="67" t="s">
        <v>43</v>
      </c>
      <c r="H25" s="77" t="s">
        <v>45</v>
      </c>
      <c r="I25" s="70" t="s">
        <v>33</v>
      </c>
      <c r="J25" s="70" t="s">
        <v>46</v>
      </c>
      <c r="K25" s="70" t="s">
        <v>5</v>
      </c>
      <c r="L25" s="67" t="s">
        <v>67</v>
      </c>
      <c r="M25" s="80" t="s">
        <v>47</v>
      </c>
      <c r="N25" s="60"/>
      <c r="O25" s="1"/>
      <c r="P25" s="1"/>
    </row>
    <row r="26" ht="15.75" customHeight="1">
      <c r="A26" s="1"/>
      <c r="B26" s="77">
        <f t="shared" si="4"/>
        <v>46138</v>
      </c>
      <c r="C26" s="67" t="s">
        <v>55</v>
      </c>
      <c r="D26" s="70" t="s">
        <v>33</v>
      </c>
      <c r="E26" s="67" t="s">
        <v>81</v>
      </c>
      <c r="F26" s="68" t="s">
        <v>62</v>
      </c>
      <c r="G26" s="58" t="s">
        <v>28</v>
      </c>
      <c r="H26" s="67" t="s">
        <v>38</v>
      </c>
      <c r="I26" s="70" t="s">
        <v>44</v>
      </c>
      <c r="J26" s="67" t="s">
        <v>50</v>
      </c>
      <c r="K26" s="70" t="s">
        <v>82</v>
      </c>
      <c r="L26" s="67" t="s">
        <v>67</v>
      </c>
      <c r="M26" s="67" t="s">
        <v>36</v>
      </c>
      <c r="N26" s="60"/>
      <c r="O26" s="1"/>
      <c r="P26" s="1"/>
    </row>
    <row r="27" ht="15.75" customHeight="1">
      <c r="A27" s="1"/>
      <c r="B27" s="9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1"/>
      <c r="P27" s="1"/>
    </row>
    <row r="28" ht="15.75" customHeight="1">
      <c r="A28" s="1"/>
      <c r="B28" s="77">
        <f>+B26+7</f>
        <v>46145</v>
      </c>
      <c r="C28" s="67" t="s">
        <v>80</v>
      </c>
      <c r="D28" s="67" t="s">
        <v>65</v>
      </c>
      <c r="E28" s="67" t="s">
        <v>60</v>
      </c>
      <c r="F28" s="68" t="s">
        <v>62</v>
      </c>
      <c r="G28" s="67" t="s">
        <v>48</v>
      </c>
      <c r="H28" s="70" t="s">
        <v>32</v>
      </c>
      <c r="I28" s="67" t="s">
        <v>29</v>
      </c>
      <c r="J28" s="67" t="s">
        <v>50</v>
      </c>
      <c r="K28" s="95" t="s">
        <v>2</v>
      </c>
      <c r="L28" s="67" t="s">
        <v>67</v>
      </c>
      <c r="M28" s="80" t="s">
        <v>87</v>
      </c>
      <c r="N28" s="60"/>
      <c r="O28" s="1"/>
      <c r="P28" s="1"/>
    </row>
    <row r="29" ht="15.75" customHeight="1">
      <c r="A29" s="1"/>
      <c r="B29" s="77">
        <f t="shared" ref="B29:B32" si="5">+B28+7</f>
        <v>46152</v>
      </c>
      <c r="C29" s="67" t="s">
        <v>72</v>
      </c>
      <c r="D29" s="67" t="s">
        <v>29</v>
      </c>
      <c r="E29" s="67" t="s">
        <v>73</v>
      </c>
      <c r="F29" s="68" t="s">
        <v>62</v>
      </c>
      <c r="G29" s="67" t="s">
        <v>61</v>
      </c>
      <c r="H29" s="67" t="s">
        <v>39</v>
      </c>
      <c r="I29" s="67" t="s">
        <v>51</v>
      </c>
      <c r="J29" s="67" t="s">
        <v>84</v>
      </c>
      <c r="K29" s="70" t="s">
        <v>4</v>
      </c>
      <c r="L29" s="67" t="s">
        <v>90</v>
      </c>
      <c r="M29" s="80" t="s">
        <v>91</v>
      </c>
      <c r="N29" s="60"/>
      <c r="O29" s="1"/>
      <c r="P29" s="1"/>
    </row>
    <row r="30" ht="15.75" customHeight="1">
      <c r="A30" s="1"/>
      <c r="B30" s="77">
        <f t="shared" si="5"/>
        <v>46159</v>
      </c>
      <c r="C30" s="67" t="s">
        <v>51</v>
      </c>
      <c r="D30" s="67" t="s">
        <v>65</v>
      </c>
      <c r="E30" s="79" t="s">
        <v>72</v>
      </c>
      <c r="F30" s="68" t="s">
        <v>62</v>
      </c>
      <c r="G30" s="67" t="s">
        <v>48</v>
      </c>
      <c r="H30" s="67" t="s">
        <v>30</v>
      </c>
      <c r="I30" s="67" t="s">
        <v>29</v>
      </c>
      <c r="J30" s="67" t="s">
        <v>32</v>
      </c>
      <c r="K30" s="70" t="s">
        <v>5</v>
      </c>
      <c r="L30" s="70" t="s">
        <v>76</v>
      </c>
      <c r="M30" s="67" t="s">
        <v>57</v>
      </c>
      <c r="N30" s="60"/>
      <c r="O30" s="1"/>
      <c r="P30" s="1"/>
    </row>
    <row r="31" ht="15.75" customHeight="1">
      <c r="A31" s="1"/>
      <c r="B31" s="77">
        <f t="shared" si="5"/>
        <v>46166</v>
      </c>
      <c r="C31" s="67" t="s">
        <v>58</v>
      </c>
      <c r="D31" s="67" t="s">
        <v>29</v>
      </c>
      <c r="E31" s="67" t="s">
        <v>81</v>
      </c>
      <c r="F31" s="68" t="s">
        <v>62</v>
      </c>
      <c r="G31" s="67" t="s">
        <v>54</v>
      </c>
      <c r="H31" s="77" t="s">
        <v>45</v>
      </c>
      <c r="I31" s="70" t="s">
        <v>44</v>
      </c>
      <c r="J31" s="67" t="s">
        <v>50</v>
      </c>
      <c r="K31" s="70" t="s">
        <v>82</v>
      </c>
      <c r="L31" s="67" t="s">
        <v>105</v>
      </c>
      <c r="M31" s="80" t="s">
        <v>59</v>
      </c>
      <c r="N31" s="60"/>
      <c r="O31" s="1"/>
      <c r="P31" s="1"/>
    </row>
    <row r="32" ht="15.75" customHeight="1">
      <c r="A32" s="1"/>
      <c r="B32" s="77">
        <f t="shared" si="5"/>
        <v>46173</v>
      </c>
      <c r="C32" s="67" t="s">
        <v>74</v>
      </c>
      <c r="D32" s="67" t="s">
        <v>38</v>
      </c>
      <c r="E32" s="67" t="s">
        <v>65</v>
      </c>
      <c r="F32" s="68" t="s">
        <v>62</v>
      </c>
      <c r="G32" s="67" t="s">
        <v>43</v>
      </c>
      <c r="H32" s="70" t="s">
        <v>32</v>
      </c>
      <c r="I32" s="70" t="s">
        <v>33</v>
      </c>
      <c r="J32" s="70" t="s">
        <v>46</v>
      </c>
      <c r="K32" s="58" t="s">
        <v>94</v>
      </c>
      <c r="L32" s="70" t="s">
        <v>76</v>
      </c>
      <c r="M32" s="67" t="s">
        <v>56</v>
      </c>
      <c r="N32" s="60"/>
      <c r="O32" s="1"/>
      <c r="P32" s="20"/>
    </row>
    <row r="33" ht="15.75" customHeight="1">
      <c r="A33" s="1"/>
      <c r="B33" s="91"/>
      <c r="C33" s="81"/>
      <c r="D33" s="81"/>
      <c r="E33" s="81"/>
      <c r="F33" s="93"/>
      <c r="G33" s="81"/>
      <c r="H33" s="81"/>
      <c r="I33" s="81"/>
      <c r="J33" s="81"/>
      <c r="K33" s="81"/>
      <c r="L33" s="81"/>
      <c r="M33" s="81"/>
      <c r="N33" s="81"/>
      <c r="O33" s="1"/>
      <c r="P33" s="1"/>
    </row>
    <row r="34" ht="15.75" customHeight="1">
      <c r="A34" s="1"/>
      <c r="B34" s="77">
        <f>+B32+7</f>
        <v>46180</v>
      </c>
      <c r="C34" s="67" t="s">
        <v>55</v>
      </c>
      <c r="D34" s="67" t="s">
        <v>28</v>
      </c>
      <c r="E34" s="67" t="s">
        <v>60</v>
      </c>
      <c r="F34" s="68" t="s">
        <v>62</v>
      </c>
      <c r="G34" s="67" t="s">
        <v>43</v>
      </c>
      <c r="H34" s="70" t="s">
        <v>45</v>
      </c>
      <c r="I34" s="70" t="s">
        <v>33</v>
      </c>
      <c r="J34" s="58" t="s">
        <v>46</v>
      </c>
      <c r="K34" s="95" t="s">
        <v>2</v>
      </c>
      <c r="L34" s="67" t="s">
        <v>67</v>
      </c>
      <c r="M34" s="80" t="s">
        <v>47</v>
      </c>
      <c r="N34" s="60"/>
      <c r="O34" s="1"/>
      <c r="P34" s="20"/>
    </row>
    <row r="35" ht="15.75" customHeight="1">
      <c r="A35" s="1"/>
      <c r="B35" s="77">
        <f t="shared" ref="B35:B37" si="6">+B34+7</f>
        <v>46187</v>
      </c>
      <c r="C35" s="67" t="s">
        <v>80</v>
      </c>
      <c r="D35" s="70" t="s">
        <v>33</v>
      </c>
      <c r="E35" s="67" t="s">
        <v>73</v>
      </c>
      <c r="F35" s="68" t="s">
        <v>62</v>
      </c>
      <c r="G35" s="58" t="s">
        <v>28</v>
      </c>
      <c r="H35" s="70" t="s">
        <v>38</v>
      </c>
      <c r="I35" s="70" t="s">
        <v>44</v>
      </c>
      <c r="J35" s="67" t="s">
        <v>50</v>
      </c>
      <c r="K35" s="70" t="s">
        <v>4</v>
      </c>
      <c r="L35" s="67" t="s">
        <v>67</v>
      </c>
      <c r="M35" s="67" t="s">
        <v>36</v>
      </c>
      <c r="N35" s="60"/>
      <c r="O35" s="1"/>
      <c r="P35" s="1"/>
    </row>
    <row r="36" ht="15.75" customHeight="1">
      <c r="A36" s="1"/>
      <c r="B36" s="77">
        <f t="shared" si="6"/>
        <v>46194</v>
      </c>
      <c r="C36" s="67" t="s">
        <v>72</v>
      </c>
      <c r="D36" s="67" t="s">
        <v>38</v>
      </c>
      <c r="E36" s="67" t="s">
        <v>60</v>
      </c>
      <c r="F36" s="68" t="s">
        <v>62</v>
      </c>
      <c r="G36" s="67" t="s">
        <v>54</v>
      </c>
      <c r="H36" s="67" t="s">
        <v>30</v>
      </c>
      <c r="I36" s="67" t="s">
        <v>29</v>
      </c>
      <c r="J36" s="67" t="s">
        <v>32</v>
      </c>
      <c r="K36" s="70" t="s">
        <v>5</v>
      </c>
      <c r="L36" s="70" t="s">
        <v>76</v>
      </c>
      <c r="M36" s="80" t="s">
        <v>24</v>
      </c>
      <c r="N36" s="60"/>
      <c r="O36" s="1"/>
      <c r="P36" s="1"/>
    </row>
    <row r="37" ht="15.75" customHeight="1">
      <c r="A37" s="1"/>
      <c r="B37" s="77">
        <f t="shared" si="6"/>
        <v>46201</v>
      </c>
      <c r="C37" s="67" t="s">
        <v>58</v>
      </c>
      <c r="D37" s="67" t="s">
        <v>29</v>
      </c>
      <c r="E37" s="67" t="s">
        <v>81</v>
      </c>
      <c r="F37" s="68" t="s">
        <v>62</v>
      </c>
      <c r="G37" s="70" t="s">
        <v>38</v>
      </c>
      <c r="H37" s="67" t="s">
        <v>39</v>
      </c>
      <c r="I37" s="67" t="s">
        <v>106</v>
      </c>
      <c r="J37" s="67" t="s">
        <v>84</v>
      </c>
      <c r="K37" s="70" t="s">
        <v>82</v>
      </c>
      <c r="L37" s="67" t="s">
        <v>90</v>
      </c>
      <c r="M37" s="67" t="s">
        <v>36</v>
      </c>
      <c r="N37" s="79"/>
      <c r="O37" s="1"/>
      <c r="P37" s="1"/>
    </row>
    <row r="38" ht="15.75" customHeight="1">
      <c r="A38" s="1"/>
      <c r="B38" s="91"/>
      <c r="C38" s="81"/>
      <c r="D38" s="81"/>
      <c r="E38" s="81"/>
      <c r="F38" s="93"/>
      <c r="G38" s="81"/>
      <c r="H38" s="81"/>
      <c r="I38" s="81"/>
      <c r="J38" s="81"/>
      <c r="K38" s="81"/>
      <c r="L38" s="81"/>
      <c r="M38" s="81"/>
      <c r="N38" s="81"/>
      <c r="O38" s="1"/>
      <c r="P38" s="1"/>
    </row>
    <row r="39" ht="15.75" customHeight="1">
      <c r="A39" s="1"/>
      <c r="B39" s="77"/>
      <c r="C39" s="70"/>
      <c r="D39" s="70"/>
      <c r="E39" s="70"/>
      <c r="F39" s="116"/>
      <c r="G39" s="70"/>
      <c r="H39" s="70"/>
      <c r="I39" s="70"/>
      <c r="J39" s="70"/>
      <c r="K39" s="70"/>
      <c r="L39" s="70"/>
      <c r="M39" s="70"/>
      <c r="N39" s="70"/>
      <c r="O39" s="1"/>
      <c r="P39" s="1"/>
    </row>
    <row r="40" ht="15.75" customHeight="1">
      <c r="A40" s="1"/>
      <c r="B40" s="77"/>
      <c r="C40" s="70"/>
      <c r="D40" s="70"/>
      <c r="E40" s="70"/>
      <c r="G40" s="67"/>
      <c r="H40" s="70"/>
      <c r="I40" s="70"/>
      <c r="J40" s="70"/>
      <c r="M40" s="70"/>
      <c r="N40" s="70"/>
      <c r="O40" s="1"/>
      <c r="P40" s="1"/>
    </row>
    <row r="41" ht="15.75" customHeight="1">
      <c r="A41" s="1"/>
      <c r="B41" s="77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1"/>
      <c r="P41" s="1"/>
    </row>
    <row r="42" ht="15.75" customHeight="1">
      <c r="A42" s="1"/>
      <c r="B42" s="77"/>
      <c r="C42" s="70"/>
      <c r="D42" s="70"/>
      <c r="E42" s="70"/>
      <c r="F42" s="116"/>
      <c r="G42" s="70"/>
      <c r="H42" s="70"/>
      <c r="I42" s="70"/>
      <c r="J42" s="70"/>
      <c r="K42" s="70"/>
      <c r="L42" s="70"/>
      <c r="M42" s="70"/>
      <c r="N42" s="70"/>
      <c r="O42" s="1"/>
      <c r="P42" s="1"/>
    </row>
    <row r="43" ht="15.75" customHeight="1">
      <c r="A43" s="1"/>
      <c r="B43" s="77"/>
      <c r="C43" s="70"/>
      <c r="D43" s="70"/>
      <c r="E43" s="70"/>
      <c r="F43" s="116"/>
      <c r="G43" s="70"/>
      <c r="H43" s="70"/>
      <c r="I43" s="70"/>
      <c r="J43" s="70"/>
      <c r="K43" s="70"/>
      <c r="L43" s="70"/>
      <c r="M43" s="70"/>
      <c r="N43" s="70"/>
      <c r="O43" s="1"/>
      <c r="P43" s="1"/>
    </row>
    <row r="44" ht="15.75" customHeight="1">
      <c r="A44" s="1"/>
      <c r="B44" s="117" t="s">
        <v>107</v>
      </c>
      <c r="C44" s="23"/>
      <c r="D44" s="23"/>
      <c r="E44" s="23"/>
      <c r="F44" s="23"/>
      <c r="G44" s="23"/>
      <c r="H44" s="23"/>
      <c r="I44" s="23"/>
      <c r="J44" s="26"/>
      <c r="K44" s="46"/>
      <c r="L44" s="119" t="s">
        <v>109</v>
      </c>
      <c r="M44" s="46"/>
      <c r="N44" s="46"/>
      <c r="O44" s="1"/>
      <c r="P44" s="1"/>
    </row>
    <row r="45" ht="15.75" customHeight="1">
      <c r="A45" s="1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"/>
      <c r="P45" s="1"/>
    </row>
    <row r="46" ht="15.75" customHeight="1">
      <c r="A46" s="1"/>
      <c r="B46" s="122" t="s">
        <v>110</v>
      </c>
      <c r="C46" s="7"/>
      <c r="D46" s="7"/>
      <c r="E46" s="7"/>
      <c r="F46" s="7"/>
      <c r="G46" s="7"/>
      <c r="H46" s="7"/>
      <c r="I46" s="7"/>
      <c r="J46" s="7"/>
      <c r="K46" s="9"/>
      <c r="L46" s="50" t="s">
        <v>76</v>
      </c>
      <c r="M46" s="50"/>
      <c r="N46" s="58"/>
      <c r="O46" s="1"/>
      <c r="P46" s="1"/>
    </row>
    <row r="47" ht="15.75" customHeight="1">
      <c r="A47" s="1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1"/>
      <c r="P47" s="1"/>
    </row>
    <row r="48" ht="15.75" customHeight="1">
      <c r="A48" s="1"/>
      <c r="B48" s="122" t="s">
        <v>111</v>
      </c>
      <c r="C48" s="7"/>
      <c r="D48" s="7"/>
      <c r="E48" s="7"/>
      <c r="F48" s="7"/>
      <c r="G48" s="7"/>
      <c r="H48" s="7"/>
      <c r="I48" s="7"/>
      <c r="J48" s="7"/>
      <c r="K48" s="9"/>
      <c r="L48" s="50" t="s">
        <v>90</v>
      </c>
      <c r="M48" s="50"/>
      <c r="N48" s="58"/>
      <c r="O48" s="1"/>
      <c r="P48" s="1"/>
    </row>
    <row r="49" ht="15.75" customHeight="1">
      <c r="A49" s="1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8"/>
      <c r="O49" s="1"/>
      <c r="P49" s="1"/>
    </row>
    <row r="50" ht="15.75" customHeight="1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"/>
      <c r="P50" s="1"/>
    </row>
    <row r="51" ht="15.75" customHeight="1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"/>
      <c r="P51" s="1"/>
    </row>
    <row r="52" ht="15.75" customHeight="1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1"/>
      <c r="P52" s="1"/>
    </row>
    <row r="53" ht="15.75" customHeight="1">
      <c r="A53" s="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"/>
      <c r="P53" s="1"/>
    </row>
    <row r="54" ht="15.75" customHeight="1">
      <c r="A54" s="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"/>
      <c r="P54" s="1"/>
    </row>
    <row r="55" ht="15.75" customHeight="1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"/>
      <c r="P55" s="1"/>
    </row>
    <row r="56" ht="15.75" customHeight="1">
      <c r="A56" s="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"/>
      <c r="P56" s="1"/>
    </row>
    <row r="57" ht="15.75" customHeight="1">
      <c r="A57" s="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"/>
      <c r="P57" s="1"/>
    </row>
    <row r="58" ht="15.75" customHeight="1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"/>
      <c r="P58" s="1"/>
    </row>
    <row r="59" ht="15.75" customHeight="1">
      <c r="A59" s="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"/>
      <c r="P59" s="1"/>
    </row>
    <row r="60" ht="15.75" customHeight="1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"/>
      <c r="P60" s="1"/>
    </row>
    <row r="61" ht="15.75" customHeight="1">
      <c r="A61" s="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"/>
      <c r="P61" s="1"/>
    </row>
    <row r="62" ht="15.75" customHeight="1">
      <c r="A62" s="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"/>
      <c r="P62" s="1"/>
    </row>
    <row r="63" ht="15.75" customHeight="1">
      <c r="A63" s="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"/>
      <c r="P63" s="1"/>
    </row>
    <row r="64" ht="15.75" customHeight="1">
      <c r="A64" s="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"/>
      <c r="P64" s="1"/>
    </row>
    <row r="65" ht="15.75" customHeight="1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"/>
      <c r="P65" s="1"/>
    </row>
    <row r="66" ht="15.75" customHeight="1">
      <c r="A66" s="1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"/>
      <c r="P66" s="1"/>
    </row>
    <row r="67" ht="15.75" customHeight="1">
      <c r="A67" s="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"/>
      <c r="P67" s="1"/>
    </row>
    <row r="68" ht="15.75" customHeight="1">
      <c r="A68" s="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"/>
      <c r="P68" s="1"/>
    </row>
    <row r="69" ht="15.75" customHeight="1">
      <c r="A69" s="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"/>
      <c r="P69" s="1"/>
    </row>
    <row r="70" ht="15.75" customHeight="1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"/>
      <c r="P70" s="1"/>
    </row>
    <row r="71" ht="15.75" customHeight="1">
      <c r="A71" s="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"/>
      <c r="P71" s="1"/>
    </row>
    <row r="72" ht="15.75" customHeight="1">
      <c r="A72" s="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"/>
      <c r="P72" s="1"/>
    </row>
    <row r="73" ht="15.75" customHeight="1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"/>
      <c r="P73" s="1"/>
    </row>
    <row r="74" ht="15.75" customHeight="1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"/>
      <c r="P74" s="1"/>
    </row>
    <row r="75" ht="15.75" customHeight="1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"/>
      <c r="P75" s="1"/>
    </row>
    <row r="76" ht="15.75" customHeight="1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"/>
      <c r="P76" s="1"/>
    </row>
    <row r="77" ht="15.75" customHeight="1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"/>
      <c r="P77" s="1"/>
    </row>
    <row r="78" ht="15.75" customHeight="1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"/>
      <c r="P78" s="1"/>
    </row>
    <row r="79" ht="15.75" customHeight="1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"/>
      <c r="P79" s="1"/>
    </row>
    <row r="80" ht="15.75" customHeight="1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"/>
      <c r="P80" s="1"/>
    </row>
    <row r="81" ht="15.75" customHeight="1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"/>
      <c r="P81" s="1"/>
    </row>
    <row r="82" ht="15.75" customHeight="1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"/>
      <c r="P82" s="1"/>
    </row>
    <row r="83" ht="15.75" customHeight="1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"/>
      <c r="P83" s="1"/>
    </row>
    <row r="84" ht="15.75" customHeight="1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"/>
      <c r="P84" s="1"/>
    </row>
    <row r="85" ht="15.75" customHeight="1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"/>
      <c r="P85" s="1"/>
    </row>
    <row r="86" ht="15.75" customHeight="1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"/>
      <c r="P86" s="1"/>
    </row>
    <row r="87" ht="15.75" customHeight="1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"/>
      <c r="P87" s="1"/>
    </row>
    <row r="88" ht="15.75" customHeight="1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"/>
      <c r="P88" s="1"/>
    </row>
    <row r="89" ht="15.75" customHeight="1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"/>
      <c r="P89" s="1"/>
    </row>
    <row r="90" ht="15.75" customHeight="1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"/>
      <c r="P90" s="1"/>
    </row>
    <row r="91" ht="15.75" customHeight="1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1"/>
      <c r="P91" s="1"/>
    </row>
    <row r="92" ht="15.75" customHeight="1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1"/>
      <c r="P92" s="1"/>
    </row>
    <row r="93" ht="15.75" customHeight="1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"/>
      <c r="P93" s="1"/>
    </row>
    <row r="94" ht="15.75" customHeight="1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"/>
      <c r="P94" s="1"/>
    </row>
    <row r="95" ht="15.75" customHeight="1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1"/>
      <c r="P95" s="1"/>
    </row>
    <row r="96" ht="15.75" customHeight="1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1"/>
      <c r="P96" s="1"/>
    </row>
    <row r="97" ht="15.75" customHeight="1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1"/>
      <c r="P97" s="1"/>
    </row>
    <row r="98" ht="15.75" customHeight="1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1"/>
      <c r="P98" s="1"/>
    </row>
    <row r="99" ht="15.75" customHeight="1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1"/>
      <c r="P99" s="1"/>
    </row>
    <row r="100" ht="15.75" customHeight="1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1"/>
      <c r="P100" s="1"/>
    </row>
    <row r="101" ht="15.75" customHeight="1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1"/>
      <c r="P101" s="1"/>
    </row>
    <row r="102" ht="15.75" customHeight="1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1"/>
      <c r="P102" s="1"/>
    </row>
    <row r="103" ht="15.75" customHeight="1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1"/>
      <c r="P103" s="1"/>
    </row>
    <row r="104" ht="15.75" customHeight="1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1"/>
      <c r="P104" s="1"/>
    </row>
    <row r="105" ht="15.75" customHeight="1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1"/>
      <c r="P105" s="1"/>
    </row>
    <row r="106" ht="15.75" customHeight="1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1"/>
      <c r="P106" s="1"/>
    </row>
    <row r="107" ht="15.75" customHeight="1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1"/>
      <c r="P107" s="1"/>
    </row>
    <row r="108" ht="15.75" customHeight="1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1"/>
      <c r="P108" s="1"/>
    </row>
    <row r="109" ht="15.75" customHeight="1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1"/>
      <c r="P109" s="1"/>
    </row>
    <row r="110" ht="15.75" customHeight="1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1"/>
      <c r="P110" s="1"/>
    </row>
    <row r="111" ht="15.75" customHeight="1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1"/>
      <c r="P111" s="1"/>
    </row>
    <row r="112" ht="15.75" customHeight="1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1"/>
      <c r="P112" s="1"/>
    </row>
    <row r="113" ht="15.75" customHeight="1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1"/>
      <c r="P113" s="1"/>
    </row>
    <row r="114" ht="15.75" customHeight="1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1"/>
      <c r="P114" s="1"/>
    </row>
    <row r="115" ht="15.75" customHeight="1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1"/>
      <c r="P115" s="1"/>
    </row>
    <row r="116" ht="15.75" customHeight="1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1"/>
      <c r="P116" s="1"/>
    </row>
    <row r="117" ht="15.75" customHeight="1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1"/>
      <c r="P117" s="1"/>
    </row>
    <row r="118" ht="15.75" customHeight="1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1"/>
      <c r="P118" s="1"/>
    </row>
    <row r="119" ht="15.75" customHeight="1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1"/>
      <c r="P119" s="1"/>
    </row>
    <row r="120" ht="15.75" customHeight="1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1"/>
      <c r="P120" s="1"/>
    </row>
    <row r="121" ht="15.75" customHeight="1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1"/>
      <c r="P121" s="1"/>
    </row>
    <row r="122" ht="15.75" customHeight="1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1"/>
      <c r="P122" s="1"/>
    </row>
    <row r="123" ht="15.75" customHeight="1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"/>
      <c r="P123" s="1"/>
    </row>
    <row r="124" ht="15.75" customHeight="1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1"/>
      <c r="P124" s="1"/>
    </row>
    <row r="125" ht="15.75" customHeight="1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1"/>
      <c r="P125" s="1"/>
    </row>
    <row r="126" ht="15.75" customHeight="1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1"/>
      <c r="P126" s="1"/>
    </row>
    <row r="127" ht="15.75" customHeight="1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1"/>
      <c r="P127" s="1"/>
    </row>
    <row r="128" ht="15.75" customHeight="1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1"/>
      <c r="P128" s="1"/>
    </row>
    <row r="129" ht="15.75" customHeight="1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1"/>
      <c r="P129" s="1"/>
    </row>
    <row r="130" ht="15.75" customHeight="1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1"/>
      <c r="P130" s="1"/>
    </row>
    <row r="131" ht="15.75" customHeight="1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1"/>
      <c r="P131" s="1"/>
    </row>
    <row r="132" ht="15.75" customHeight="1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1"/>
      <c r="P132" s="1"/>
    </row>
    <row r="133" ht="15.75" customHeight="1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1"/>
      <c r="P133" s="1"/>
    </row>
    <row r="134" ht="15.75" customHeight="1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1"/>
      <c r="P134" s="1"/>
    </row>
    <row r="135" ht="15.75" customHeight="1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1"/>
      <c r="P135" s="1"/>
    </row>
    <row r="136" ht="15.75" customHeight="1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1"/>
      <c r="P136" s="1"/>
    </row>
    <row r="137" ht="15.75" customHeight="1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1"/>
      <c r="P137" s="1"/>
    </row>
    <row r="138" ht="15.75" customHeight="1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1"/>
      <c r="P138" s="1"/>
    </row>
    <row r="139" ht="15.75" customHeight="1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1"/>
      <c r="P139" s="1"/>
    </row>
    <row r="140" ht="15.75" customHeight="1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1"/>
      <c r="P140" s="1"/>
    </row>
    <row r="141" ht="15.75" customHeight="1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1"/>
      <c r="P141" s="1"/>
    </row>
    <row r="142" ht="15.75" customHeight="1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1"/>
      <c r="P142" s="1"/>
    </row>
    <row r="143" ht="15.75" customHeight="1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1"/>
      <c r="P143" s="1"/>
    </row>
    <row r="144" ht="15.75" customHeight="1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1"/>
      <c r="P144" s="1"/>
    </row>
    <row r="145" ht="15.75" customHeight="1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1"/>
      <c r="P145" s="1"/>
    </row>
    <row r="146" ht="15.75" customHeight="1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1"/>
      <c r="P146" s="1"/>
    </row>
    <row r="147" ht="15.75" customHeight="1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1"/>
      <c r="P147" s="1"/>
    </row>
    <row r="148" ht="15.75" customHeight="1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1"/>
      <c r="P148" s="1"/>
    </row>
    <row r="149" ht="15.75" customHeight="1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1"/>
      <c r="P149" s="1"/>
    </row>
    <row r="150" ht="15.75" customHeight="1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1"/>
      <c r="P150" s="1"/>
    </row>
    <row r="151" ht="15.75" customHeight="1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1"/>
      <c r="P151" s="1"/>
    </row>
    <row r="152" ht="15.75" customHeight="1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1"/>
      <c r="P152" s="1"/>
    </row>
    <row r="153" ht="15.75" customHeight="1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"/>
      <c r="P153" s="1"/>
    </row>
    <row r="154" ht="15.75" customHeight="1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1"/>
      <c r="P154" s="1"/>
    </row>
    <row r="155" ht="15.75" customHeight="1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1"/>
      <c r="P155" s="1"/>
    </row>
    <row r="156" ht="15.75" customHeight="1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1"/>
      <c r="P156" s="1"/>
    </row>
    <row r="157" ht="15.75" customHeight="1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1"/>
      <c r="P157" s="1"/>
    </row>
    <row r="158" ht="15.75" customHeight="1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1"/>
      <c r="P158" s="1"/>
    </row>
    <row r="159" ht="15.75" customHeight="1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1"/>
      <c r="P159" s="1"/>
    </row>
    <row r="160" ht="15.75" customHeight="1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1"/>
      <c r="P160" s="1"/>
    </row>
    <row r="161" ht="15.75" customHeight="1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1"/>
      <c r="P161" s="1"/>
    </row>
    <row r="162" ht="15.75" customHeight="1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1"/>
      <c r="P162" s="1"/>
    </row>
    <row r="163" ht="15.75" customHeight="1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1"/>
      <c r="P163" s="1"/>
    </row>
    <row r="164" ht="15.75" customHeight="1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1"/>
      <c r="P164" s="1"/>
    </row>
    <row r="165" ht="15.75" customHeight="1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"/>
      <c r="P165" s="1"/>
    </row>
    <row r="166" ht="15.75" customHeight="1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1"/>
      <c r="P166" s="1"/>
    </row>
    <row r="167" ht="15.75" customHeight="1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1"/>
      <c r="P167" s="1"/>
    </row>
    <row r="168" ht="15.75" customHeight="1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"/>
      <c r="P168" s="1"/>
    </row>
    <row r="169" ht="15.75" customHeight="1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"/>
      <c r="P169" s="1"/>
    </row>
    <row r="170" ht="15.75" customHeight="1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1"/>
      <c r="P170" s="1"/>
    </row>
    <row r="171" ht="15.75" customHeight="1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1"/>
      <c r="P171" s="1"/>
    </row>
    <row r="172" ht="15.75" customHeight="1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1"/>
      <c r="P172" s="1"/>
    </row>
    <row r="173" ht="15.75" customHeight="1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1"/>
      <c r="P173" s="1"/>
    </row>
    <row r="174" ht="15.75" customHeight="1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1"/>
      <c r="P174" s="1"/>
    </row>
    <row r="175" ht="15.75" customHeight="1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1"/>
      <c r="P175" s="1"/>
    </row>
    <row r="176" ht="15.75" customHeight="1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1"/>
      <c r="P176" s="1"/>
    </row>
    <row r="177" ht="15.75" customHeight="1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1"/>
      <c r="P177" s="1"/>
    </row>
    <row r="178" ht="15.75" customHeight="1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1"/>
      <c r="P178" s="1"/>
    </row>
    <row r="179" ht="15.75" customHeight="1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1"/>
      <c r="P179" s="1"/>
    </row>
    <row r="180" ht="15.75" customHeight="1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1"/>
      <c r="P180" s="1"/>
    </row>
    <row r="181" ht="15.75" customHeight="1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1"/>
      <c r="P181" s="1"/>
    </row>
    <row r="182" ht="15.75" customHeight="1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1"/>
      <c r="P182" s="1"/>
    </row>
    <row r="183" ht="15.75" customHeight="1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1"/>
      <c r="P183" s="1"/>
    </row>
    <row r="184" ht="15.75" customHeight="1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1"/>
      <c r="P184" s="1"/>
    </row>
    <row r="185" ht="15.75" customHeight="1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1"/>
      <c r="P185" s="1"/>
    </row>
    <row r="186" ht="15.75" customHeight="1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1"/>
      <c r="P186" s="1"/>
    </row>
    <row r="187" ht="15.75" customHeight="1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1"/>
      <c r="P187" s="1"/>
    </row>
    <row r="188" ht="15.75" customHeight="1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1"/>
      <c r="P188" s="1"/>
    </row>
    <row r="189" ht="15.75" customHeight="1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1"/>
      <c r="P189" s="1"/>
    </row>
    <row r="190" ht="15.75" customHeight="1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1"/>
      <c r="P190" s="1"/>
    </row>
    <row r="191" ht="15.75" customHeight="1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1"/>
      <c r="P191" s="1"/>
    </row>
    <row r="192" ht="15.75" customHeight="1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1"/>
      <c r="P192" s="1"/>
    </row>
    <row r="193" ht="15.75" customHeight="1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1"/>
      <c r="P193" s="1"/>
    </row>
    <row r="194" ht="15.75" customHeight="1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1"/>
      <c r="P194" s="1"/>
    </row>
    <row r="195" ht="15.75" customHeight="1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1"/>
      <c r="P195" s="1"/>
    </row>
    <row r="196" ht="15.75" customHeight="1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1"/>
      <c r="P196" s="1"/>
    </row>
    <row r="197" ht="15.75" customHeight="1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1"/>
      <c r="P197" s="1"/>
    </row>
    <row r="198" ht="15.75" customHeight="1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1"/>
      <c r="P198" s="1"/>
    </row>
    <row r="199" ht="15.75" customHeight="1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1"/>
      <c r="P199" s="1"/>
    </row>
    <row r="200" ht="15.75" customHeight="1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1"/>
      <c r="P200" s="1"/>
    </row>
    <row r="201" ht="15.75" customHeight="1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1"/>
      <c r="P201" s="1"/>
    </row>
    <row r="202" ht="15.75" customHeight="1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1"/>
      <c r="P202" s="1"/>
    </row>
    <row r="203" ht="15.75" customHeight="1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1"/>
      <c r="P203" s="1"/>
    </row>
    <row r="204" ht="15.75" customHeight="1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1"/>
      <c r="P204" s="1"/>
    </row>
    <row r="205" ht="15.75" customHeight="1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1"/>
      <c r="P205" s="1"/>
    </row>
    <row r="206" ht="15.75" customHeight="1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1"/>
      <c r="P206" s="1"/>
    </row>
    <row r="207" ht="15.75" customHeight="1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1"/>
      <c r="P207" s="1"/>
    </row>
    <row r="208" ht="15.75" customHeight="1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1"/>
      <c r="P208" s="1"/>
    </row>
    <row r="209" ht="15.75" customHeight="1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1"/>
      <c r="P209" s="1"/>
    </row>
    <row r="210" ht="15.75" customHeight="1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1"/>
      <c r="P210" s="1"/>
    </row>
    <row r="211" ht="15.75" customHeight="1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1"/>
      <c r="P211" s="1"/>
    </row>
    <row r="212" ht="15.75" customHeight="1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1"/>
      <c r="P212" s="1"/>
    </row>
    <row r="213" ht="15.75" customHeight="1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1"/>
      <c r="P213" s="1"/>
    </row>
    <row r="214" ht="15.75" customHeight="1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1"/>
      <c r="P214" s="1"/>
    </row>
    <row r="215" ht="15.75" customHeight="1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1"/>
      <c r="P215" s="1"/>
    </row>
    <row r="216" ht="15.75" customHeight="1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1"/>
      <c r="P216" s="1"/>
    </row>
    <row r="217" ht="15.75" customHeight="1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1"/>
      <c r="P217" s="1"/>
    </row>
    <row r="218" ht="15.75" customHeight="1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1"/>
      <c r="P218" s="1"/>
    </row>
    <row r="219" ht="15.75" customHeight="1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1"/>
      <c r="P219" s="1"/>
    </row>
    <row r="220" ht="15.75" customHeight="1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1"/>
      <c r="P220" s="1"/>
    </row>
    <row r="221" ht="15.75" customHeight="1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1"/>
      <c r="P221" s="1"/>
    </row>
    <row r="222" ht="15.75" customHeight="1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1"/>
      <c r="P222" s="1"/>
    </row>
    <row r="223" ht="15.75" customHeight="1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1"/>
      <c r="P223" s="1"/>
    </row>
    <row r="224" ht="15.75" customHeight="1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1"/>
      <c r="P224" s="1"/>
    </row>
    <row r="225" ht="15.75" customHeight="1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1"/>
      <c r="P225" s="1"/>
    </row>
    <row r="226" ht="15.75" customHeight="1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1"/>
      <c r="P226" s="1"/>
    </row>
    <row r="227" ht="15.75" customHeight="1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1"/>
      <c r="P227" s="1"/>
    </row>
    <row r="228" ht="15.75" customHeight="1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1"/>
      <c r="P228" s="1"/>
    </row>
    <row r="229" ht="15.75" customHeight="1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1"/>
      <c r="P229" s="1"/>
    </row>
    <row r="230" ht="15.75" customHeight="1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1"/>
      <c r="P230" s="1"/>
    </row>
    <row r="231" ht="15.75" customHeight="1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1"/>
      <c r="P231" s="1"/>
    </row>
    <row r="232" ht="15.75" customHeight="1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1"/>
      <c r="P232" s="1"/>
    </row>
    <row r="233" ht="15.75" customHeight="1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1"/>
      <c r="P233" s="1"/>
    </row>
    <row r="234" ht="15.75" customHeight="1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1"/>
      <c r="P234" s="1"/>
    </row>
    <row r="235" ht="15.75" customHeight="1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1"/>
      <c r="P235" s="1"/>
    </row>
    <row r="236" ht="15.75" customHeight="1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1"/>
      <c r="P236" s="1"/>
    </row>
    <row r="237" ht="15.75" customHeight="1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1"/>
      <c r="P237" s="1"/>
    </row>
    <row r="238" ht="15.75" customHeight="1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1"/>
      <c r="P238" s="1"/>
    </row>
    <row r="239" ht="15.75" customHeight="1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1"/>
      <c r="P239" s="1"/>
    </row>
    <row r="240" ht="15.75" customHeight="1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1"/>
      <c r="P240" s="1"/>
    </row>
    <row r="241" ht="15.75" customHeight="1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1"/>
      <c r="P241" s="1"/>
    </row>
    <row r="242" ht="15.75" customHeight="1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1"/>
      <c r="P242" s="1"/>
    </row>
    <row r="243" ht="15.75" customHeight="1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1"/>
      <c r="P243" s="1"/>
    </row>
    <row r="244" ht="15.75" customHeight="1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1"/>
      <c r="P244" s="1"/>
    </row>
    <row r="245" ht="15.75" customHeight="1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1"/>
      <c r="P245" s="1"/>
    </row>
    <row r="246" ht="15.75" customHeight="1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1"/>
      <c r="P246" s="1"/>
    </row>
    <row r="247" ht="15.75" customHeight="1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1"/>
      <c r="P247" s="1"/>
    </row>
    <row r="248" ht="15.75" customHeight="1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1"/>
      <c r="P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N3"/>
    <mergeCell ref="C4:F4"/>
    <mergeCell ref="E11:F11"/>
    <mergeCell ref="B44:J44"/>
    <mergeCell ref="B46:K46"/>
    <mergeCell ref="B48:K48"/>
  </mergeCells>
  <printOptions/>
  <pageMargins bottom="1.1437499999999998" footer="0.0" header="0.0" left="0.7" right="0.7" top="1.1437499999999998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.43"/>
    <col customWidth="1" min="2" max="2" width="0.71"/>
    <col customWidth="1" min="3" max="3" width="9.43"/>
    <col customWidth="1" min="4" max="4" width="10.71"/>
    <col customWidth="1" min="5" max="5" width="11.71"/>
    <col customWidth="1" min="6" max="6" width="10.86"/>
    <col customWidth="1" min="7" max="9" width="9.43"/>
    <col customWidth="1" min="10" max="10" width="14.43"/>
    <col customWidth="1" min="11" max="11" width="9.86"/>
    <col customWidth="1" min="12" max="12" width="15.57"/>
    <col customWidth="1" min="13" max="13" width="9.43"/>
    <col customWidth="1" min="14" max="14" width="11.57"/>
    <col customWidth="1" min="15" max="15" width="9.86"/>
    <col customWidth="1" min="16" max="17" width="9.43"/>
    <col customWidth="1" min="18" max="18" width="11.43"/>
    <col customWidth="1" min="19" max="21" width="10.57"/>
    <col customWidth="1" min="22" max="22" width="12.43"/>
    <col customWidth="1" min="23" max="23" width="8.0"/>
    <col customWidth="1" min="24" max="29" width="9.43"/>
    <col customWidth="1" min="30" max="30" width="11.43"/>
    <col customWidth="1" min="31" max="31" width="9.43"/>
  </cols>
  <sheetData>
    <row r="1" ht="30.75" customHeight="1">
      <c r="A1" s="1"/>
      <c r="B1" s="1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1"/>
      <c r="Q1" s="1"/>
      <c r="R1" s="8" t="s">
        <v>1</v>
      </c>
      <c r="S1" s="10" t="s">
        <v>2</v>
      </c>
      <c r="T1" s="11" t="s">
        <v>4</v>
      </c>
      <c r="U1" s="14" t="s">
        <v>5</v>
      </c>
      <c r="V1" s="16" t="s">
        <v>6</v>
      </c>
      <c r="W1" s="18" t="s">
        <v>7</v>
      </c>
      <c r="X1" s="1"/>
      <c r="Y1" s="1"/>
      <c r="Z1" s="21" t="s">
        <v>3</v>
      </c>
      <c r="AA1" s="24"/>
      <c r="AB1" s="24"/>
      <c r="AC1" s="24"/>
      <c r="AD1" s="24"/>
      <c r="AE1" s="25"/>
    </row>
    <row r="2" ht="30.75" customHeight="1">
      <c r="A2" s="1"/>
      <c r="B2" s="1"/>
      <c r="C2" s="17"/>
      <c r="O2" s="19"/>
      <c r="P2" s="1"/>
      <c r="Q2" s="1"/>
      <c r="R2" s="27"/>
      <c r="S2" s="28"/>
      <c r="T2" s="31"/>
      <c r="U2" s="32"/>
      <c r="V2" s="33"/>
      <c r="W2" s="35"/>
      <c r="X2" s="1"/>
      <c r="Y2" s="1"/>
      <c r="Z2" s="37"/>
      <c r="AA2" s="37"/>
      <c r="AB2" s="37"/>
      <c r="AC2" s="37"/>
      <c r="AD2" s="37"/>
      <c r="AE2" s="37"/>
    </row>
    <row r="3" ht="15.75" customHeight="1">
      <c r="A3" s="38"/>
      <c r="B3" s="1"/>
      <c r="C3" s="17"/>
      <c r="O3" s="19"/>
      <c r="P3" s="1"/>
      <c r="Q3" s="1"/>
      <c r="R3" s="40" t="s">
        <v>17</v>
      </c>
      <c r="S3" s="46" t="str">
        <f t="shared" ref="S3:W3" si="1">+#REF!</f>
        <v>#REF!</v>
      </c>
      <c r="T3" s="46" t="str">
        <f t="shared" si="1"/>
        <v>#REF!</v>
      </c>
      <c r="U3" s="46" t="str">
        <f t="shared" si="1"/>
        <v>#REF!</v>
      </c>
      <c r="V3" s="46" t="str">
        <f t="shared" si="1"/>
        <v>#REF!</v>
      </c>
      <c r="W3" s="46" t="str">
        <f t="shared" si="1"/>
        <v>#REF!</v>
      </c>
      <c r="X3" s="1"/>
      <c r="Y3" s="1"/>
      <c r="Z3" s="50" t="s">
        <v>14</v>
      </c>
      <c r="AA3" s="50" t="s">
        <v>13</v>
      </c>
      <c r="AB3" s="50" t="s">
        <v>20</v>
      </c>
      <c r="AC3" s="50" t="s">
        <v>11</v>
      </c>
      <c r="AD3" s="50" t="s">
        <v>22</v>
      </c>
      <c r="AE3" s="50" t="s">
        <v>23</v>
      </c>
    </row>
    <row r="4">
      <c r="A4" s="20"/>
      <c r="B4" s="1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6"/>
      <c r="P4" s="1"/>
      <c r="Q4" s="1"/>
      <c r="R4" s="55" t="s">
        <v>40</v>
      </c>
      <c r="S4" s="58" t="str">
        <f t="shared" ref="S4:V4" si="2">+#REF!</f>
        <v>#REF!</v>
      </c>
      <c r="T4" s="58" t="str">
        <f t="shared" si="2"/>
        <v>#REF!</v>
      </c>
      <c r="U4" s="58" t="str">
        <f t="shared" si="2"/>
        <v>#REF!</v>
      </c>
      <c r="V4" s="58" t="str">
        <f t="shared" si="2"/>
        <v>#REF!</v>
      </c>
      <c r="W4" s="58"/>
      <c r="X4" s="1"/>
      <c r="Y4" s="1"/>
      <c r="Z4" s="46" t="s">
        <v>32</v>
      </c>
      <c r="AA4" s="61" t="s">
        <v>30</v>
      </c>
      <c r="AB4" s="46" t="s">
        <v>53</v>
      </c>
      <c r="AC4" s="46" t="s">
        <v>28</v>
      </c>
      <c r="AD4" s="46" t="s">
        <v>28</v>
      </c>
      <c r="AE4" s="61" t="s">
        <v>41</v>
      </c>
    </row>
    <row r="5" ht="84.0" customHeight="1">
      <c r="A5" s="64"/>
      <c r="B5" s="1"/>
      <c r="C5" s="29" t="s">
        <v>9</v>
      </c>
      <c r="D5" s="36" t="s">
        <v>10</v>
      </c>
      <c r="E5" s="7"/>
      <c r="F5" s="7"/>
      <c r="G5" s="9"/>
      <c r="H5" s="39" t="s">
        <v>15</v>
      </c>
      <c r="I5" s="39" t="s">
        <v>16</v>
      </c>
      <c r="J5" s="39" t="s">
        <v>18</v>
      </c>
      <c r="K5" s="39" t="s">
        <v>19</v>
      </c>
      <c r="L5" s="42" t="s">
        <v>21</v>
      </c>
      <c r="M5" s="8" t="s">
        <v>25</v>
      </c>
      <c r="N5" s="8" t="s">
        <v>26</v>
      </c>
      <c r="O5" s="42" t="s">
        <v>27</v>
      </c>
      <c r="P5" s="1"/>
      <c r="Q5" s="1"/>
      <c r="R5" s="55" t="s">
        <v>63</v>
      </c>
      <c r="S5" s="58" t="str">
        <f t="shared" ref="S5:V5" si="3">+#REF!</f>
        <v>#REF!</v>
      </c>
      <c r="T5" s="58" t="str">
        <f t="shared" si="3"/>
        <v>#REF!</v>
      </c>
      <c r="U5" s="58" t="str">
        <f t="shared" si="3"/>
        <v>#REF!</v>
      </c>
      <c r="V5" s="58" t="str">
        <f t="shared" si="3"/>
        <v>#REF!</v>
      </c>
      <c r="W5" s="58"/>
      <c r="X5" s="1"/>
      <c r="Y5" s="1"/>
      <c r="Z5" s="58" t="s">
        <v>33</v>
      </c>
      <c r="AA5" s="58" t="s">
        <v>38</v>
      </c>
      <c r="AB5" s="58" t="s">
        <v>28</v>
      </c>
      <c r="AC5" s="71" t="s">
        <v>41</v>
      </c>
      <c r="AD5" s="58"/>
      <c r="AE5" s="58" t="s">
        <v>66</v>
      </c>
    </row>
    <row r="6">
      <c r="A6" s="64"/>
      <c r="B6" s="1"/>
      <c r="C6" s="45"/>
      <c r="D6" s="47" t="s">
        <v>31</v>
      </c>
      <c r="E6" s="47" t="s">
        <v>34</v>
      </c>
      <c r="F6" s="47" t="s">
        <v>68</v>
      </c>
      <c r="G6" s="73" t="s">
        <v>69</v>
      </c>
      <c r="H6" s="74" t="s">
        <v>11</v>
      </c>
      <c r="I6" s="47" t="s">
        <v>13</v>
      </c>
      <c r="J6" s="47" t="s">
        <v>20</v>
      </c>
      <c r="K6" s="45" t="s">
        <v>14</v>
      </c>
      <c r="L6" s="42"/>
      <c r="M6" s="8"/>
      <c r="N6" s="8"/>
      <c r="O6" s="42"/>
      <c r="P6" s="1"/>
      <c r="Q6" s="1"/>
      <c r="R6" s="55" t="s">
        <v>70</v>
      </c>
      <c r="S6" s="58" t="str">
        <f t="shared" ref="S6:W6" si="4">+#REF!</f>
        <v>#REF!</v>
      </c>
      <c r="T6" s="58" t="str">
        <f t="shared" si="4"/>
        <v>#REF!</v>
      </c>
      <c r="U6" s="58" t="str">
        <f t="shared" si="4"/>
        <v>#REF!</v>
      </c>
      <c r="V6" s="58" t="str">
        <f t="shared" si="4"/>
        <v>#REF!</v>
      </c>
      <c r="W6" s="58" t="str">
        <f t="shared" si="4"/>
        <v>#REF!</v>
      </c>
      <c r="X6" s="1"/>
      <c r="Y6" s="1"/>
      <c r="Z6" s="58" t="s">
        <v>46</v>
      </c>
      <c r="AA6" s="58" t="s">
        <v>29</v>
      </c>
      <c r="AB6" s="71" t="s">
        <v>41</v>
      </c>
      <c r="AC6" s="58" t="s">
        <v>66</v>
      </c>
      <c r="AD6" s="58"/>
      <c r="AE6" s="58"/>
    </row>
    <row r="7">
      <c r="A7" s="75"/>
      <c r="B7" s="1"/>
      <c r="C7" s="45"/>
      <c r="D7" s="47"/>
      <c r="E7" s="47"/>
      <c r="F7" s="47"/>
      <c r="G7" s="60" t="s">
        <v>49</v>
      </c>
      <c r="H7" s="74"/>
      <c r="I7" s="47"/>
      <c r="J7" s="60" t="s">
        <v>49</v>
      </c>
      <c r="K7" s="45"/>
      <c r="L7" s="60"/>
      <c r="M7" s="62"/>
      <c r="N7" s="62"/>
      <c r="O7" s="60"/>
      <c r="P7" s="1"/>
      <c r="Q7" s="1"/>
      <c r="R7" s="55" t="s">
        <v>57</v>
      </c>
      <c r="S7" s="58" t="str">
        <f t="shared" ref="S7:V7" si="5">+#REF!</f>
        <v>#REF!</v>
      </c>
      <c r="T7" s="58" t="str">
        <f t="shared" si="5"/>
        <v>#REF!</v>
      </c>
      <c r="U7" s="58" t="str">
        <f t="shared" si="5"/>
        <v>#REF!</v>
      </c>
      <c r="V7" s="58" t="str">
        <f t="shared" si="5"/>
        <v>#REF!</v>
      </c>
      <c r="W7" s="58"/>
      <c r="X7" s="1"/>
      <c r="Y7" s="1"/>
      <c r="Z7" s="58" t="s">
        <v>50</v>
      </c>
      <c r="AA7" s="58" t="s">
        <v>32</v>
      </c>
      <c r="AB7" s="71" t="s">
        <v>38</v>
      </c>
      <c r="AC7" s="58" t="s">
        <v>71</v>
      </c>
      <c r="AD7" s="58"/>
      <c r="AE7" s="58"/>
    </row>
    <row r="8">
      <c r="A8" s="1"/>
      <c r="B8" s="1"/>
      <c r="C8" s="66">
        <v>46208.0</v>
      </c>
      <c r="D8" s="67" t="s">
        <v>74</v>
      </c>
      <c r="E8" s="67" t="s">
        <v>38</v>
      </c>
      <c r="F8" s="67" t="s">
        <v>60</v>
      </c>
      <c r="G8" s="67" t="s">
        <v>62</v>
      </c>
      <c r="H8" s="67" t="s">
        <v>43</v>
      </c>
      <c r="I8" s="67" t="s">
        <v>30</v>
      </c>
      <c r="J8" s="67" t="s">
        <v>33</v>
      </c>
      <c r="K8" s="67" t="s">
        <v>32</v>
      </c>
      <c r="L8" s="70" t="s">
        <v>2</v>
      </c>
      <c r="M8" s="67" t="s">
        <v>76</v>
      </c>
      <c r="N8" s="67" t="s">
        <v>56</v>
      </c>
      <c r="O8" s="70"/>
      <c r="P8" s="1"/>
      <c r="Q8" s="1"/>
      <c r="R8" s="55" t="s">
        <v>77</v>
      </c>
      <c r="S8" s="58" t="str">
        <f t="shared" ref="S8:V8" si="6">+#REF!</f>
        <v>#REF!</v>
      </c>
      <c r="T8" s="58" t="str">
        <f t="shared" si="6"/>
        <v>#REF!</v>
      </c>
      <c r="U8" s="58" t="str">
        <f t="shared" si="6"/>
        <v>#REF!</v>
      </c>
      <c r="V8" s="58" t="str">
        <f t="shared" si="6"/>
        <v>#REF!</v>
      </c>
      <c r="W8" s="58"/>
      <c r="X8" s="1"/>
      <c r="Y8" s="1"/>
      <c r="Z8" s="58"/>
      <c r="AA8" s="58" t="s">
        <v>78</v>
      </c>
      <c r="AB8" s="58" t="s">
        <v>66</v>
      </c>
      <c r="AC8" s="58" t="s">
        <v>43</v>
      </c>
      <c r="AD8" s="58"/>
      <c r="AE8" s="58"/>
    </row>
    <row r="9" ht="15.0" customHeight="1">
      <c r="A9" s="1"/>
      <c r="B9" s="1"/>
      <c r="C9" s="77">
        <f t="shared" ref="C9:C11" si="7">+C8+7</f>
        <v>46215</v>
      </c>
      <c r="D9" s="67" t="s">
        <v>84</v>
      </c>
      <c r="E9" s="67" t="s">
        <v>33</v>
      </c>
      <c r="F9" s="67" t="s">
        <v>73</v>
      </c>
      <c r="G9" s="67" t="s">
        <v>62</v>
      </c>
      <c r="H9" s="67" t="s">
        <v>54</v>
      </c>
      <c r="I9" s="67" t="s">
        <v>45</v>
      </c>
      <c r="J9" s="67" t="s">
        <v>29</v>
      </c>
      <c r="K9" s="67" t="s">
        <v>50</v>
      </c>
      <c r="L9" s="70" t="s">
        <v>4</v>
      </c>
      <c r="M9" s="67" t="s">
        <v>67</v>
      </c>
      <c r="N9" s="67" t="s">
        <v>47</v>
      </c>
      <c r="O9" s="70"/>
      <c r="P9" s="1"/>
      <c r="Q9" s="1"/>
      <c r="R9" s="55" t="s">
        <v>86</v>
      </c>
      <c r="S9" s="58" t="str">
        <f>+N8</f>
        <v>Orly</v>
      </c>
      <c r="T9" s="58" t="str">
        <f>+N9</f>
        <v>Joann</v>
      </c>
      <c r="U9" s="58" t="str">
        <f>+N10</f>
        <v>Joy</v>
      </c>
      <c r="V9" s="58" t="str">
        <f>+N11</f>
        <v>Kristin</v>
      </c>
      <c r="W9" s="58" t="str">
        <f>+N12</f>
        <v/>
      </c>
      <c r="X9" s="1"/>
      <c r="Y9" s="1"/>
      <c r="Z9" s="58"/>
      <c r="AA9" s="58" t="s">
        <v>88</v>
      </c>
      <c r="AB9" s="58" t="s">
        <v>29</v>
      </c>
      <c r="AC9" s="58" t="s">
        <v>54</v>
      </c>
      <c r="AD9" s="58"/>
      <c r="AE9" s="58"/>
    </row>
    <row r="10">
      <c r="A10" s="1"/>
      <c r="B10" s="1"/>
      <c r="C10" s="77">
        <f t="shared" si="7"/>
        <v>46222</v>
      </c>
      <c r="D10" s="67" t="s">
        <v>51</v>
      </c>
      <c r="E10" s="67" t="s">
        <v>28</v>
      </c>
      <c r="F10" s="67" t="s">
        <v>81</v>
      </c>
      <c r="G10" s="67" t="s">
        <v>62</v>
      </c>
      <c r="H10" s="67" t="s">
        <v>48</v>
      </c>
      <c r="I10" s="67" t="s">
        <v>38</v>
      </c>
      <c r="J10" s="67" t="s">
        <v>44</v>
      </c>
      <c r="K10" s="67" t="s">
        <v>32</v>
      </c>
      <c r="L10" s="70" t="s">
        <v>5</v>
      </c>
      <c r="M10" s="67" t="s">
        <v>67</v>
      </c>
      <c r="N10" s="67" t="s">
        <v>87</v>
      </c>
      <c r="O10" s="70"/>
      <c r="P10" s="1"/>
      <c r="Q10" s="1"/>
      <c r="R10" s="55" t="s">
        <v>89</v>
      </c>
      <c r="S10" s="88" t="str">
        <f>+N14</f>
        <v>Jason</v>
      </c>
      <c r="T10" s="58" t="str">
        <f>+#REF!</f>
        <v>#REF!</v>
      </c>
      <c r="U10" s="58" t="str">
        <f>+N16</f>
        <v>Joann</v>
      </c>
      <c r="V10" s="58" t="str">
        <f>+N18</f>
        <v/>
      </c>
      <c r="W10" s="58"/>
      <c r="X10" s="1"/>
      <c r="Y10" s="1"/>
      <c r="Z10" s="58"/>
      <c r="AA10" s="58" t="s">
        <v>45</v>
      </c>
      <c r="AB10" s="58" t="s">
        <v>32</v>
      </c>
      <c r="AC10" s="58"/>
      <c r="AD10" s="58"/>
      <c r="AE10" s="58"/>
    </row>
    <row r="11">
      <c r="A11" s="1"/>
      <c r="B11" s="1"/>
      <c r="C11" s="77">
        <f t="shared" si="7"/>
        <v>46229</v>
      </c>
      <c r="D11" s="67" t="s">
        <v>58</v>
      </c>
      <c r="E11" s="67" t="s">
        <v>29</v>
      </c>
      <c r="F11" s="79" t="s">
        <v>72</v>
      </c>
      <c r="G11" s="67" t="s">
        <v>62</v>
      </c>
      <c r="H11" s="67" t="s">
        <v>28</v>
      </c>
      <c r="I11" s="67" t="s">
        <v>45</v>
      </c>
      <c r="J11" s="67" t="s">
        <v>33</v>
      </c>
      <c r="K11" s="67" t="s">
        <v>46</v>
      </c>
      <c r="L11" s="70" t="s">
        <v>82</v>
      </c>
      <c r="M11" s="67" t="s">
        <v>67</v>
      </c>
      <c r="N11" s="67" t="s">
        <v>59</v>
      </c>
      <c r="O11" s="70"/>
      <c r="P11" s="1"/>
      <c r="Q11" s="1"/>
      <c r="R11" s="55" t="s">
        <v>93</v>
      </c>
      <c r="S11" s="58" t="str">
        <f>+N19</f>
        <v>Orly</v>
      </c>
      <c r="T11" s="88" t="str">
        <f>+N20</f>
        <v>Kristin</v>
      </c>
      <c r="U11" s="58" t="str">
        <f>+N21</f>
        <v>Immanuel</v>
      </c>
      <c r="V11" s="58" t="str">
        <f>+N22</f>
        <v>Jason</v>
      </c>
      <c r="W11" s="58"/>
      <c r="X11" s="1"/>
      <c r="Y11" s="1"/>
      <c r="Z11" s="58"/>
      <c r="AA11" s="58"/>
      <c r="AB11" s="58" t="s">
        <v>44</v>
      </c>
      <c r="AC11" s="58"/>
      <c r="AD11" s="58"/>
      <c r="AE11" s="58"/>
    </row>
    <row r="12" ht="15.0" customHeight="1">
      <c r="A12" s="1"/>
      <c r="B12" s="1"/>
      <c r="C12" s="91"/>
      <c r="D12" s="81"/>
      <c r="E12" s="81"/>
      <c r="F12" s="81"/>
      <c r="G12" s="81"/>
      <c r="H12" s="81"/>
      <c r="I12" s="81"/>
      <c r="J12" s="96"/>
      <c r="K12" s="81"/>
      <c r="L12" s="81"/>
      <c r="M12" s="81"/>
      <c r="N12" s="81"/>
      <c r="O12" s="81"/>
      <c r="P12" s="1"/>
      <c r="Q12" s="1"/>
      <c r="R12" s="55" t="s">
        <v>83</v>
      </c>
      <c r="S12" s="58" t="str">
        <f>+N24</f>
        <v>Joann</v>
      </c>
      <c r="T12" s="58" t="str">
        <f>+N25</f>
        <v>Des</v>
      </c>
      <c r="U12" s="88" t="str">
        <f>+N26</f>
        <v>Orly</v>
      </c>
      <c r="V12" s="58" t="str">
        <f>+N27</f>
        <v>Immanuel</v>
      </c>
      <c r="W12" s="88" t="str">
        <f>+N28</f>
        <v/>
      </c>
      <c r="X12" s="1"/>
      <c r="Y12" s="1"/>
      <c r="Z12" s="58"/>
      <c r="AA12" s="58"/>
      <c r="AB12" s="58" t="s">
        <v>88</v>
      </c>
      <c r="AC12" s="58"/>
      <c r="AD12" s="58"/>
      <c r="AE12" s="58"/>
    </row>
    <row r="13" ht="15.0" customHeight="1">
      <c r="A13" s="1"/>
      <c r="B13" s="1"/>
      <c r="C13" s="88">
        <f>7+C11</f>
        <v>46236</v>
      </c>
      <c r="D13" s="67" t="s">
        <v>72</v>
      </c>
      <c r="E13" s="67" t="s">
        <v>28</v>
      </c>
      <c r="F13" s="67" t="s">
        <v>60</v>
      </c>
      <c r="G13" s="67" t="s">
        <v>62</v>
      </c>
      <c r="H13" s="67" t="s">
        <v>43</v>
      </c>
      <c r="I13" s="67" t="s">
        <v>39</v>
      </c>
      <c r="J13" s="67" t="s">
        <v>95</v>
      </c>
      <c r="K13" s="67" t="s">
        <v>46</v>
      </c>
      <c r="L13" s="70" t="s">
        <v>2</v>
      </c>
      <c r="M13" s="67" t="s">
        <v>90</v>
      </c>
      <c r="N13" s="67" t="s">
        <v>36</v>
      </c>
      <c r="O13" s="58"/>
      <c r="P13" s="1"/>
      <c r="Q13" s="1"/>
      <c r="R13" s="55" t="s">
        <v>96</v>
      </c>
      <c r="S13" s="58" t="str">
        <f>+N30</f>
        <v>Kristin</v>
      </c>
      <c r="T13" s="58" t="str">
        <f>+N31</f>
        <v>Joann</v>
      </c>
      <c r="U13" s="58" t="str">
        <f t="shared" ref="U13:V13" si="8">+#REF!</f>
        <v>#REF!</v>
      </c>
      <c r="V13" s="58" t="str">
        <f t="shared" si="8"/>
        <v>#REF!</v>
      </c>
      <c r="W13" s="58"/>
      <c r="X13" s="1"/>
      <c r="Y13" s="1"/>
      <c r="Z13" s="1"/>
      <c r="AA13" s="1"/>
      <c r="AB13" s="1"/>
      <c r="AC13" s="1"/>
      <c r="AD13" s="1"/>
      <c r="AE13" s="1"/>
    </row>
    <row r="14">
      <c r="A14" s="1"/>
      <c r="B14" s="1"/>
      <c r="C14" s="88">
        <f t="shared" ref="C14:C16" si="9">7+C13</f>
        <v>46243</v>
      </c>
      <c r="D14" s="67" t="s">
        <v>84</v>
      </c>
      <c r="E14" s="67" t="s">
        <v>33</v>
      </c>
      <c r="F14" s="67" t="s">
        <v>73</v>
      </c>
      <c r="G14" s="67" t="s">
        <v>62</v>
      </c>
      <c r="H14" s="67" t="s">
        <v>28</v>
      </c>
      <c r="I14" s="67" t="s">
        <v>38</v>
      </c>
      <c r="J14" s="67" t="s">
        <v>44</v>
      </c>
      <c r="K14" s="67" t="s">
        <v>50</v>
      </c>
      <c r="L14" s="70" t="s">
        <v>4</v>
      </c>
      <c r="M14" s="67" t="s">
        <v>67</v>
      </c>
      <c r="N14" s="67" t="s">
        <v>91</v>
      </c>
      <c r="O14" s="105"/>
      <c r="P14" s="1"/>
      <c r="Q14" s="1"/>
      <c r="R14" s="55" t="s">
        <v>104</v>
      </c>
      <c r="S14" s="88" t="str">
        <f>+N35</f>
        <v>Orly</v>
      </c>
      <c r="T14" s="58" t="str">
        <f>+N36</f>
        <v>Immanuel</v>
      </c>
      <c r="U14" s="58" t="str">
        <f>+N37</f>
        <v>Des</v>
      </c>
      <c r="V14" s="58" t="str">
        <f>+N38</f>
        <v>Joann</v>
      </c>
      <c r="W14" s="58" t="str">
        <f>+#REF!</f>
        <v>#REF!</v>
      </c>
      <c r="X14" s="1"/>
      <c r="Y14" s="1"/>
      <c r="Z14" s="1"/>
      <c r="AA14" s="1"/>
      <c r="AB14" s="1"/>
      <c r="AC14" s="1"/>
      <c r="AD14" s="1"/>
      <c r="AE14" s="1"/>
    </row>
    <row r="15">
      <c r="A15" s="1"/>
      <c r="B15" s="1"/>
      <c r="C15" s="88">
        <f t="shared" si="9"/>
        <v>46250</v>
      </c>
      <c r="D15" s="67" t="s">
        <v>58</v>
      </c>
      <c r="E15" s="67" t="s">
        <v>29</v>
      </c>
      <c r="F15" s="79" t="s">
        <v>72</v>
      </c>
      <c r="G15" s="67" t="s">
        <v>62</v>
      </c>
      <c r="H15" s="67" t="s">
        <v>43</v>
      </c>
      <c r="I15" s="67" t="s">
        <v>30</v>
      </c>
      <c r="J15" s="67" t="s">
        <v>33</v>
      </c>
      <c r="K15" s="67" t="s">
        <v>32</v>
      </c>
      <c r="L15" s="70" t="s">
        <v>5</v>
      </c>
      <c r="M15" s="67" t="s">
        <v>76</v>
      </c>
      <c r="N15" s="67" t="s">
        <v>24</v>
      </c>
      <c r="O15" s="7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5.0" customHeight="1">
      <c r="A16" s="1"/>
      <c r="B16" s="1"/>
      <c r="C16" s="108">
        <f t="shared" si="9"/>
        <v>46257</v>
      </c>
      <c r="D16" s="67" t="s">
        <v>51</v>
      </c>
      <c r="E16" s="67" t="s">
        <v>30</v>
      </c>
      <c r="F16" s="67" t="s">
        <v>81</v>
      </c>
      <c r="G16" s="67" t="s">
        <v>62</v>
      </c>
      <c r="H16" s="67" t="s">
        <v>54</v>
      </c>
      <c r="I16" s="67" t="s">
        <v>45</v>
      </c>
      <c r="J16" s="67" t="s">
        <v>29</v>
      </c>
      <c r="K16" s="67" t="s">
        <v>42</v>
      </c>
      <c r="L16" s="70" t="s">
        <v>82</v>
      </c>
      <c r="M16" s="67" t="s">
        <v>67</v>
      </c>
      <c r="N16" s="67" t="s">
        <v>47</v>
      </c>
      <c r="O16" s="7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1"/>
      <c r="C17" s="110">
        <f>+C16+7</f>
        <v>46264</v>
      </c>
      <c r="D17" s="67" t="s">
        <v>74</v>
      </c>
      <c r="E17" s="67" t="s">
        <v>29</v>
      </c>
      <c r="F17" s="67" t="s">
        <v>73</v>
      </c>
      <c r="G17" s="67" t="s">
        <v>62</v>
      </c>
      <c r="H17" s="67" t="s">
        <v>48</v>
      </c>
      <c r="I17" s="67" t="s">
        <v>32</v>
      </c>
      <c r="J17" s="67" t="s">
        <v>33</v>
      </c>
      <c r="K17" s="67" t="s">
        <v>50</v>
      </c>
      <c r="L17" s="111" t="s">
        <v>7</v>
      </c>
      <c r="M17" s="67" t="s">
        <v>76</v>
      </c>
      <c r="N17" s="67" t="s">
        <v>57</v>
      </c>
      <c r="O17" s="7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"/>
      <c r="B18" s="1"/>
      <c r="C18" s="113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1"/>
      <c r="B19" s="1"/>
      <c r="C19" s="110">
        <f>+C17+7</f>
        <v>46271</v>
      </c>
      <c r="D19" s="67" t="s">
        <v>74</v>
      </c>
      <c r="E19" s="67" t="s">
        <v>33</v>
      </c>
      <c r="F19" s="67" t="s">
        <v>60</v>
      </c>
      <c r="G19" s="67" t="s">
        <v>62</v>
      </c>
      <c r="H19" s="67" t="s">
        <v>43</v>
      </c>
      <c r="I19" s="67" t="s">
        <v>45</v>
      </c>
      <c r="J19" s="67" t="s">
        <v>29</v>
      </c>
      <c r="K19" s="67" t="s">
        <v>32</v>
      </c>
      <c r="L19" s="70" t="s">
        <v>2</v>
      </c>
      <c r="M19" s="67" t="s">
        <v>76</v>
      </c>
      <c r="N19" s="67" t="s">
        <v>56</v>
      </c>
      <c r="O19" s="7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"/>
      <c r="B20" s="1"/>
      <c r="C20" s="110">
        <f t="shared" ref="C20:C22" si="10">+C19+7</f>
        <v>46278</v>
      </c>
      <c r="D20" s="67" t="s">
        <v>58</v>
      </c>
      <c r="E20" s="67" t="s">
        <v>29</v>
      </c>
      <c r="F20" s="67" t="s">
        <v>73</v>
      </c>
      <c r="G20" s="67" t="s">
        <v>62</v>
      </c>
      <c r="H20" s="67" t="s">
        <v>28</v>
      </c>
      <c r="I20" s="67" t="s">
        <v>38</v>
      </c>
      <c r="J20" s="67" t="s">
        <v>44</v>
      </c>
      <c r="K20" s="67" t="s">
        <v>50</v>
      </c>
      <c r="L20" s="70" t="s">
        <v>4</v>
      </c>
      <c r="M20" s="79" t="s">
        <v>67</v>
      </c>
      <c r="N20" s="67" t="s">
        <v>59</v>
      </c>
      <c r="O20" s="6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1"/>
      <c r="B21" s="1"/>
      <c r="C21" s="110">
        <f t="shared" si="10"/>
        <v>46285</v>
      </c>
      <c r="D21" s="67" t="s">
        <v>84</v>
      </c>
      <c r="E21" s="67" t="s">
        <v>28</v>
      </c>
      <c r="F21" s="79" t="s">
        <v>72</v>
      </c>
      <c r="G21" s="67" t="s">
        <v>62</v>
      </c>
      <c r="H21" s="67" t="s">
        <v>38</v>
      </c>
      <c r="I21" s="67" t="s">
        <v>39</v>
      </c>
      <c r="J21" s="67" t="s">
        <v>95</v>
      </c>
      <c r="K21" s="67" t="s">
        <v>46</v>
      </c>
      <c r="L21" s="70" t="s">
        <v>5</v>
      </c>
      <c r="M21" s="67" t="s">
        <v>90</v>
      </c>
      <c r="N21" s="67" t="s">
        <v>36</v>
      </c>
      <c r="O21" s="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5.0" customHeight="1">
      <c r="A22" s="1"/>
      <c r="B22" s="1"/>
      <c r="C22" s="110">
        <f t="shared" si="10"/>
        <v>46292</v>
      </c>
      <c r="D22" s="67" t="s">
        <v>72</v>
      </c>
      <c r="E22" s="67" t="s">
        <v>38</v>
      </c>
      <c r="F22" s="67" t="s">
        <v>81</v>
      </c>
      <c r="G22" s="67" t="s">
        <v>62</v>
      </c>
      <c r="H22" s="67" t="s">
        <v>54</v>
      </c>
      <c r="I22" s="67" t="s">
        <v>30</v>
      </c>
      <c r="J22" s="67" t="s">
        <v>33</v>
      </c>
      <c r="K22" s="67" t="s">
        <v>32</v>
      </c>
      <c r="L22" s="70" t="s">
        <v>82</v>
      </c>
      <c r="M22" s="79" t="s">
        <v>67</v>
      </c>
      <c r="N22" s="67" t="s">
        <v>91</v>
      </c>
      <c r="O22" s="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30.0" customHeight="1">
      <c r="A23" s="1"/>
      <c r="B23" s="1"/>
      <c r="C23" s="118" t="s">
        <v>108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5.0" customHeight="1">
      <c r="A24" s="1"/>
      <c r="B24" s="1"/>
      <c r="C24" s="121">
        <f>+C22+7</f>
        <v>46299</v>
      </c>
      <c r="D24" s="67" t="s">
        <v>51</v>
      </c>
      <c r="E24" s="67" t="s">
        <v>29</v>
      </c>
      <c r="F24" s="67" t="s">
        <v>60</v>
      </c>
      <c r="G24" s="67" t="s">
        <v>62</v>
      </c>
      <c r="H24" s="67" t="s">
        <v>28</v>
      </c>
      <c r="I24" s="67" t="s">
        <v>45</v>
      </c>
      <c r="J24" s="67" t="s">
        <v>44</v>
      </c>
      <c r="K24" s="67" t="s">
        <v>42</v>
      </c>
      <c r="L24" s="70" t="s">
        <v>2</v>
      </c>
      <c r="M24" s="67" t="s">
        <v>67</v>
      </c>
      <c r="N24" s="67" t="s">
        <v>47</v>
      </c>
      <c r="O24" s="6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5.75" customHeight="1">
      <c r="A25" s="1"/>
      <c r="B25" s="1"/>
      <c r="C25" s="121">
        <f t="shared" ref="C25:C27" si="11">+C24+7</f>
        <v>46306</v>
      </c>
      <c r="D25" s="67" t="s">
        <v>74</v>
      </c>
      <c r="E25" s="67" t="s">
        <v>33</v>
      </c>
      <c r="F25" s="67" t="s">
        <v>73</v>
      </c>
      <c r="G25" s="67" t="s">
        <v>62</v>
      </c>
      <c r="H25" s="67" t="s">
        <v>54</v>
      </c>
      <c r="I25" s="67" t="s">
        <v>32</v>
      </c>
      <c r="J25" s="67" t="s">
        <v>29</v>
      </c>
      <c r="K25" s="67" t="s">
        <v>50</v>
      </c>
      <c r="L25" s="70" t="s">
        <v>4</v>
      </c>
      <c r="M25" s="67" t="s">
        <v>76</v>
      </c>
      <c r="N25" s="67" t="s">
        <v>24</v>
      </c>
      <c r="O25" s="6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5.75" customHeight="1">
      <c r="A26" s="1"/>
      <c r="B26" s="1"/>
      <c r="C26" s="121">
        <f t="shared" si="11"/>
        <v>46313</v>
      </c>
      <c r="D26" s="67" t="s">
        <v>72</v>
      </c>
      <c r="E26" s="67" t="s">
        <v>38</v>
      </c>
      <c r="F26" s="79" t="s">
        <v>72</v>
      </c>
      <c r="G26" s="67" t="s">
        <v>62</v>
      </c>
      <c r="H26" s="67" t="s">
        <v>28</v>
      </c>
      <c r="I26" s="67" t="s">
        <v>30</v>
      </c>
      <c r="J26" s="67" t="s">
        <v>33</v>
      </c>
      <c r="K26" s="67" t="s">
        <v>46</v>
      </c>
      <c r="L26" s="70" t="s">
        <v>5</v>
      </c>
      <c r="M26" s="67" t="s">
        <v>76</v>
      </c>
      <c r="N26" s="67" t="s">
        <v>56</v>
      </c>
      <c r="O26" s="6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5.0" customHeight="1">
      <c r="A27" s="1"/>
      <c r="B27" s="1"/>
      <c r="C27" s="121">
        <f t="shared" si="11"/>
        <v>46320</v>
      </c>
      <c r="D27" s="67" t="s">
        <v>84</v>
      </c>
      <c r="E27" s="67" t="s">
        <v>28</v>
      </c>
      <c r="F27" s="67" t="s">
        <v>81</v>
      </c>
      <c r="G27" s="67" t="s">
        <v>62</v>
      </c>
      <c r="H27" s="67" t="s">
        <v>38</v>
      </c>
      <c r="I27" s="67" t="s">
        <v>39</v>
      </c>
      <c r="J27" s="67" t="s">
        <v>95</v>
      </c>
      <c r="K27" s="67" t="s">
        <v>50</v>
      </c>
      <c r="L27" s="70" t="s">
        <v>82</v>
      </c>
      <c r="M27" s="67" t="s">
        <v>90</v>
      </c>
      <c r="N27" s="67" t="s">
        <v>36</v>
      </c>
      <c r="O27" s="6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5.75" customHeight="1">
      <c r="A28" s="1"/>
      <c r="B28" s="1"/>
      <c r="C28" s="124"/>
      <c r="D28" s="125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5.75" customHeight="1">
      <c r="A29" s="1"/>
      <c r="B29" s="1"/>
      <c r="C29" s="77">
        <f>+C27+7</f>
        <v>46327</v>
      </c>
      <c r="D29" s="67" t="s">
        <v>58</v>
      </c>
      <c r="E29" s="67" t="s">
        <v>29</v>
      </c>
      <c r="F29" s="67" t="s">
        <v>60</v>
      </c>
      <c r="G29" s="67" t="s">
        <v>62</v>
      </c>
      <c r="H29" s="67" t="s">
        <v>28</v>
      </c>
      <c r="I29" s="67" t="s">
        <v>38</v>
      </c>
      <c r="J29" s="67" t="s">
        <v>44</v>
      </c>
      <c r="K29" s="67" t="s">
        <v>32</v>
      </c>
      <c r="L29" s="70" t="s">
        <v>2</v>
      </c>
      <c r="M29" s="79" t="s">
        <v>67</v>
      </c>
      <c r="N29" s="67" t="s">
        <v>91</v>
      </c>
      <c r="O29" s="6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5.75" customHeight="1">
      <c r="A30" s="1"/>
      <c r="B30" s="1"/>
      <c r="C30" s="77">
        <f t="shared" ref="C30:C33" si="12">+C29+7</f>
        <v>46334</v>
      </c>
      <c r="D30" s="67" t="s">
        <v>72</v>
      </c>
      <c r="E30" s="67" t="s">
        <v>28</v>
      </c>
      <c r="F30" s="67" t="s">
        <v>73</v>
      </c>
      <c r="G30" s="67" t="s">
        <v>62</v>
      </c>
      <c r="H30" s="67" t="s">
        <v>54</v>
      </c>
      <c r="I30" s="67" t="s">
        <v>45</v>
      </c>
      <c r="J30" s="67" t="s">
        <v>29</v>
      </c>
      <c r="K30" s="67" t="s">
        <v>50</v>
      </c>
      <c r="L30" s="70" t="s">
        <v>4</v>
      </c>
      <c r="M30" s="79" t="s">
        <v>67</v>
      </c>
      <c r="N30" s="67" t="s">
        <v>59</v>
      </c>
      <c r="O30" s="6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5.75" customHeight="1">
      <c r="A31" s="1"/>
      <c r="B31" s="1"/>
      <c r="C31" s="77">
        <f t="shared" si="12"/>
        <v>46341</v>
      </c>
      <c r="D31" s="67" t="s">
        <v>51</v>
      </c>
      <c r="E31" s="67" t="s">
        <v>30</v>
      </c>
      <c r="F31" s="79" t="s">
        <v>72</v>
      </c>
      <c r="G31" s="67" t="s">
        <v>62</v>
      </c>
      <c r="H31" s="67" t="s">
        <v>43</v>
      </c>
      <c r="I31" s="67" t="s">
        <v>45</v>
      </c>
      <c r="J31" s="67" t="s">
        <v>28</v>
      </c>
      <c r="K31" s="67" t="s">
        <v>46</v>
      </c>
      <c r="L31" s="70" t="s">
        <v>5</v>
      </c>
      <c r="M31" s="79" t="s">
        <v>67</v>
      </c>
      <c r="N31" s="67" t="s">
        <v>47</v>
      </c>
      <c r="O31" s="6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5.0" customHeight="1">
      <c r="A32" s="1"/>
      <c r="B32" s="1"/>
      <c r="C32" s="77">
        <f t="shared" si="12"/>
        <v>46348</v>
      </c>
      <c r="D32" s="67" t="s">
        <v>74</v>
      </c>
      <c r="E32" s="67" t="s">
        <v>38</v>
      </c>
      <c r="F32" s="67" t="s">
        <v>81</v>
      </c>
      <c r="G32" s="67" t="s">
        <v>62</v>
      </c>
      <c r="H32" s="67" t="s">
        <v>54</v>
      </c>
      <c r="I32" s="67" t="s">
        <v>30</v>
      </c>
      <c r="J32" s="67" t="s">
        <v>33</v>
      </c>
      <c r="K32" s="67" t="s">
        <v>32</v>
      </c>
      <c r="L32" s="70" t="s">
        <v>82</v>
      </c>
      <c r="M32" s="67" t="s">
        <v>76</v>
      </c>
      <c r="N32" s="67" t="s">
        <v>24</v>
      </c>
      <c r="O32" s="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5.0" customHeight="1">
      <c r="A33" s="1"/>
      <c r="B33" s="1"/>
      <c r="C33" s="77">
        <f t="shared" si="12"/>
        <v>46355</v>
      </c>
      <c r="D33" s="67" t="s">
        <v>84</v>
      </c>
      <c r="E33" s="67" t="s">
        <v>33</v>
      </c>
      <c r="F33" s="67" t="s">
        <v>60</v>
      </c>
      <c r="G33" s="67" t="s">
        <v>62</v>
      </c>
      <c r="H33" s="67" t="s">
        <v>48</v>
      </c>
      <c r="I33" s="67" t="s">
        <v>32</v>
      </c>
      <c r="J33" s="67" t="s">
        <v>29</v>
      </c>
      <c r="K33" s="67" t="s">
        <v>42</v>
      </c>
      <c r="L33" s="111" t="s">
        <v>7</v>
      </c>
      <c r="M33" s="67" t="s">
        <v>76</v>
      </c>
      <c r="N33" s="67" t="s">
        <v>57</v>
      </c>
      <c r="O33" s="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5.0" customHeight="1">
      <c r="A34" s="1"/>
      <c r="B34" s="1"/>
      <c r="C34" s="9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5.75" customHeight="1">
      <c r="A35" s="1"/>
      <c r="B35" s="1"/>
      <c r="C35" s="77">
        <f>+C33+7</f>
        <v>46362</v>
      </c>
      <c r="D35" s="67" t="s">
        <v>58</v>
      </c>
      <c r="E35" s="67" t="s">
        <v>29</v>
      </c>
      <c r="F35" s="67" t="s">
        <v>73</v>
      </c>
      <c r="G35" s="67" t="s">
        <v>62</v>
      </c>
      <c r="H35" s="67" t="s">
        <v>43</v>
      </c>
      <c r="I35" s="67" t="s">
        <v>30</v>
      </c>
      <c r="J35" s="67" t="s">
        <v>44</v>
      </c>
      <c r="K35" s="67" t="s">
        <v>50</v>
      </c>
      <c r="L35" s="70" t="s">
        <v>2</v>
      </c>
      <c r="M35" s="67" t="s">
        <v>76</v>
      </c>
      <c r="N35" s="67" t="s">
        <v>56</v>
      </c>
      <c r="O35" s="6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5.75" customHeight="1">
      <c r="A36" s="1"/>
      <c r="B36" s="128"/>
      <c r="C36" s="77">
        <f t="shared" ref="C36:C38" si="13">+C35+7</f>
        <v>46369</v>
      </c>
      <c r="D36" s="67" t="s">
        <v>72</v>
      </c>
      <c r="E36" s="67" t="s">
        <v>28</v>
      </c>
      <c r="F36" s="67" t="s">
        <v>60</v>
      </c>
      <c r="G36" s="67" t="s">
        <v>62</v>
      </c>
      <c r="H36" s="67" t="s">
        <v>38</v>
      </c>
      <c r="I36" s="67" t="s">
        <v>39</v>
      </c>
      <c r="J36" s="67" t="s">
        <v>95</v>
      </c>
      <c r="K36" s="67" t="s">
        <v>46</v>
      </c>
      <c r="L36" s="70" t="s">
        <v>4</v>
      </c>
      <c r="M36" s="67" t="s">
        <v>90</v>
      </c>
      <c r="N36" s="67" t="s">
        <v>36</v>
      </c>
      <c r="O36" s="6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5.75" customHeight="1">
      <c r="A37" s="1"/>
      <c r="B37" s="128"/>
      <c r="C37" s="77">
        <f t="shared" si="13"/>
        <v>46376</v>
      </c>
      <c r="D37" s="67" t="s">
        <v>74</v>
      </c>
      <c r="E37" s="67" t="s">
        <v>38</v>
      </c>
      <c r="F37" s="79" t="s">
        <v>72</v>
      </c>
      <c r="G37" s="67" t="s">
        <v>62</v>
      </c>
      <c r="H37" s="67" t="s">
        <v>54</v>
      </c>
      <c r="I37" s="67" t="s">
        <v>32</v>
      </c>
      <c r="J37" s="67" t="s">
        <v>29</v>
      </c>
      <c r="K37" s="67" t="s">
        <v>42</v>
      </c>
      <c r="L37" s="70" t="s">
        <v>5</v>
      </c>
      <c r="M37" s="67" t="s">
        <v>76</v>
      </c>
      <c r="N37" s="67" t="s">
        <v>24</v>
      </c>
      <c r="O37" s="6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5.75" customHeight="1">
      <c r="A38" s="1"/>
      <c r="B38" s="128"/>
      <c r="C38" s="77">
        <f t="shared" si="13"/>
        <v>46383</v>
      </c>
      <c r="D38" s="67" t="s">
        <v>51</v>
      </c>
      <c r="E38" s="67" t="s">
        <v>30</v>
      </c>
      <c r="F38" s="67" t="s">
        <v>81</v>
      </c>
      <c r="G38" s="67" t="s">
        <v>62</v>
      </c>
      <c r="H38" s="67" t="s">
        <v>28</v>
      </c>
      <c r="I38" s="67" t="s">
        <v>45</v>
      </c>
      <c r="J38" s="67" t="s">
        <v>33</v>
      </c>
      <c r="K38" s="67" t="s">
        <v>46</v>
      </c>
      <c r="L38" s="70" t="s">
        <v>82</v>
      </c>
      <c r="M38" s="79" t="s">
        <v>67</v>
      </c>
      <c r="N38" s="67" t="s">
        <v>47</v>
      </c>
      <c r="O38" s="6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30.0" customHeight="1">
      <c r="A39" s="1"/>
      <c r="B39" s="128"/>
      <c r="C39" s="77"/>
      <c r="D39" s="129" t="s">
        <v>112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5.75" customHeight="1">
      <c r="A40" s="1"/>
      <c r="B40" s="128"/>
      <c r="C40" s="130">
        <f>C38+7</f>
        <v>46390</v>
      </c>
      <c r="D40" s="131"/>
      <c r="E40" s="67"/>
      <c r="F40" s="67" t="s">
        <v>60</v>
      </c>
      <c r="G40" s="67"/>
      <c r="H40" s="130"/>
      <c r="I40" s="130"/>
      <c r="J40" s="130"/>
      <c r="K40" s="130"/>
      <c r="L40" s="70" t="s">
        <v>113</v>
      </c>
      <c r="M40" s="79" t="s">
        <v>67</v>
      </c>
      <c r="N40" s="67" t="s">
        <v>91</v>
      </c>
      <c r="O40" s="13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5.0" customHeight="1">
      <c r="A41" s="1"/>
      <c r="B41" s="128"/>
      <c r="C41" s="130">
        <f>C40+7</f>
        <v>46397</v>
      </c>
      <c r="D41" s="67"/>
      <c r="E41" s="67"/>
      <c r="F41" s="67" t="s">
        <v>73</v>
      </c>
      <c r="G41" s="67"/>
      <c r="H41" s="132"/>
      <c r="I41" s="132"/>
      <c r="J41" s="132"/>
      <c r="K41" s="132"/>
      <c r="L41" s="70" t="s">
        <v>4</v>
      </c>
      <c r="M41" s="79" t="s">
        <v>67</v>
      </c>
      <c r="N41" s="67" t="s">
        <v>59</v>
      </c>
      <c r="O41" s="13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5.75" customHeight="1">
      <c r="A42" s="1"/>
      <c r="B42" s="128"/>
      <c r="C42" s="130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67"/>
      <c r="O42" s="13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5.75" customHeight="1">
      <c r="A43" s="1"/>
      <c r="B43" s="128"/>
      <c r="C43" s="130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customHeight="1">
      <c r="A44" s="1"/>
      <c r="B44" s="1"/>
      <c r="C44" s="133" t="s">
        <v>107</v>
      </c>
      <c r="D44" s="7"/>
      <c r="E44" s="7"/>
      <c r="F44" s="7"/>
      <c r="G44" s="7"/>
      <c r="H44" s="7"/>
      <c r="I44" s="7"/>
      <c r="J44" s="7"/>
      <c r="K44" s="7"/>
      <c r="L44" s="9"/>
      <c r="M44" s="134"/>
      <c r="N44" s="55"/>
      <c r="O44" s="5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5.75" customHeight="1">
      <c r="A45" s="1"/>
      <c r="B45" s="1"/>
      <c r="C45" s="135" t="s">
        <v>114</v>
      </c>
      <c r="D45" s="67" t="s">
        <v>30</v>
      </c>
      <c r="E45" s="67" t="s">
        <v>29</v>
      </c>
      <c r="F45" s="67" t="s">
        <v>60</v>
      </c>
      <c r="G45" s="67" t="s">
        <v>62</v>
      </c>
      <c r="H45" s="67" t="s">
        <v>28</v>
      </c>
      <c r="I45" s="67" t="s">
        <v>45</v>
      </c>
      <c r="J45" s="67" t="s">
        <v>33</v>
      </c>
      <c r="K45" s="67" t="s">
        <v>50</v>
      </c>
      <c r="L45" s="136"/>
      <c r="M45" s="134" t="s">
        <v>109</v>
      </c>
      <c r="N45" s="136"/>
      <c r="O45" s="13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5.75" customHeight="1">
      <c r="A46" s="1"/>
      <c r="B46" s="1"/>
      <c r="C46" s="122" t="s">
        <v>110</v>
      </c>
      <c r="D46" s="7"/>
      <c r="E46" s="7"/>
      <c r="F46" s="7"/>
      <c r="G46" s="7"/>
      <c r="H46" s="7"/>
      <c r="I46" s="7"/>
      <c r="J46" s="7"/>
      <c r="K46" s="7"/>
      <c r="L46" s="9"/>
      <c r="M46" s="134"/>
      <c r="N46" s="134"/>
      <c r="O46" s="5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5.75" customHeight="1">
      <c r="A47" s="1"/>
      <c r="B47" s="1"/>
      <c r="C47" s="135" t="s">
        <v>115</v>
      </c>
      <c r="D47" s="67" t="s">
        <v>72</v>
      </c>
      <c r="E47" s="67" t="s">
        <v>29</v>
      </c>
      <c r="F47" s="67" t="s">
        <v>73</v>
      </c>
      <c r="G47" s="67" t="s">
        <v>62</v>
      </c>
      <c r="H47" s="67" t="s">
        <v>54</v>
      </c>
      <c r="I47" s="67" t="s">
        <v>32</v>
      </c>
      <c r="J47" s="67" t="s">
        <v>29</v>
      </c>
      <c r="K47" s="67" t="s">
        <v>42</v>
      </c>
      <c r="L47" s="134"/>
      <c r="M47" s="134" t="s">
        <v>76</v>
      </c>
      <c r="N47" s="134"/>
      <c r="O47" s="13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5.75" customHeight="1">
      <c r="A48" s="1"/>
      <c r="B48" s="1"/>
      <c r="C48" s="122" t="s">
        <v>111</v>
      </c>
      <c r="D48" s="7"/>
      <c r="E48" s="7"/>
      <c r="F48" s="7"/>
      <c r="G48" s="7"/>
      <c r="H48" s="7"/>
      <c r="I48" s="7"/>
      <c r="J48" s="7"/>
      <c r="K48" s="7"/>
      <c r="L48" s="9"/>
      <c r="M48" s="134"/>
      <c r="N48" s="134"/>
      <c r="O48" s="5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5.0" customHeight="1">
      <c r="A49" s="1"/>
      <c r="B49" s="1"/>
      <c r="C49" s="137">
        <v>46387.0</v>
      </c>
      <c r="D49" s="67" t="s">
        <v>84</v>
      </c>
      <c r="E49" s="67" t="s">
        <v>30</v>
      </c>
      <c r="F49" s="79" t="s">
        <v>72</v>
      </c>
      <c r="G49" s="67" t="s">
        <v>62</v>
      </c>
      <c r="H49" s="67" t="s">
        <v>38</v>
      </c>
      <c r="I49" s="67" t="s">
        <v>39</v>
      </c>
      <c r="J49" s="67" t="s">
        <v>95</v>
      </c>
      <c r="K49" s="67" t="s">
        <v>46</v>
      </c>
      <c r="L49" s="1"/>
      <c r="M49" s="134" t="s">
        <v>90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5.75" customHeight="1">
      <c r="A50" s="1"/>
      <c r="B50" s="1"/>
      <c r="C50" s="138" t="s">
        <v>116</v>
      </c>
      <c r="D50" s="138"/>
      <c r="E50" s="139">
        <v>45635.0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5.75" customHeight="1">
      <c r="A51" s="1"/>
      <c r="B51" s="1"/>
      <c r="C51" s="14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customHeight="1">
      <c r="A52" s="1"/>
      <c r="B52" s="1"/>
      <c r="C52" s="14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customHeight="1">
      <c r="A53" s="1"/>
      <c r="B53" s="1"/>
      <c r="C53" s="14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customHeight="1">
      <c r="A54" s="1"/>
      <c r="B54" s="1"/>
      <c r="C54" s="14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customHeight="1">
      <c r="A55" s="1"/>
      <c r="B55" s="1"/>
      <c r="C55" s="14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customHeight="1">
      <c r="A56" s="1"/>
      <c r="B56" s="1"/>
      <c r="C56" s="14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customHeight="1">
      <c r="A57" s="1"/>
      <c r="B57" s="1"/>
      <c r="C57" s="14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customHeight="1">
      <c r="A60" s="14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4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4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:O4"/>
    <mergeCell ref="Z1:AE1"/>
    <mergeCell ref="D5:G5"/>
    <mergeCell ref="C23:O23"/>
    <mergeCell ref="D39:O39"/>
    <mergeCell ref="C44:L44"/>
    <mergeCell ref="C46:L46"/>
    <mergeCell ref="C48:L48"/>
  </mergeCells>
  <printOptions/>
  <pageMargins bottom="1.1437499999999998" footer="0.0" header="0.0" left="0.7" right="0.7" top="1.143749999999999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0.43"/>
    <col customWidth="1" min="3" max="3" width="10.71"/>
    <col customWidth="1" min="4" max="4" width="9.86"/>
    <col customWidth="1" min="5" max="12" width="9.14"/>
    <col customWidth="1" min="13" max="13" width="14.71"/>
    <col customWidth="1" min="14" max="14" width="11.57"/>
    <col customWidth="1" min="15" max="26" width="8.71"/>
  </cols>
  <sheetData>
    <row r="1">
      <c r="A1" s="2">
        <v>2026.0</v>
      </c>
      <c r="B1" s="7"/>
      <c r="C1" s="7"/>
      <c r="D1" s="9"/>
      <c r="I1" s="12" t="s">
        <v>3</v>
      </c>
      <c r="J1" s="24"/>
      <c r="K1" s="24"/>
      <c r="L1" s="24"/>
      <c r="M1" s="24"/>
      <c r="N1" s="25"/>
    </row>
    <row r="2">
      <c r="A2" s="30" t="s">
        <v>8</v>
      </c>
      <c r="B2" s="34" t="s">
        <v>11</v>
      </c>
      <c r="C2" s="34" t="s">
        <v>12</v>
      </c>
      <c r="D2" s="34" t="s">
        <v>13</v>
      </c>
      <c r="I2" s="41" t="s">
        <v>14</v>
      </c>
      <c r="J2" s="41" t="s">
        <v>13</v>
      </c>
      <c r="K2" s="41" t="s">
        <v>20</v>
      </c>
      <c r="L2" s="41" t="s">
        <v>11</v>
      </c>
      <c r="M2" s="41" t="s">
        <v>22</v>
      </c>
      <c r="N2" s="41" t="s">
        <v>23</v>
      </c>
    </row>
    <row r="3">
      <c r="A3" s="43" t="s">
        <v>24</v>
      </c>
      <c r="B3" s="44" t="s">
        <v>28</v>
      </c>
      <c r="C3" s="44" t="s">
        <v>29</v>
      </c>
      <c r="D3" s="44" t="s">
        <v>30</v>
      </c>
      <c r="I3" s="48" t="s">
        <v>32</v>
      </c>
      <c r="J3" s="48" t="s">
        <v>30</v>
      </c>
      <c r="K3" s="49" t="s">
        <v>33</v>
      </c>
      <c r="L3" s="48" t="s">
        <v>28</v>
      </c>
      <c r="M3" s="48" t="s">
        <v>28</v>
      </c>
      <c r="N3" s="48"/>
    </row>
    <row r="4">
      <c r="A4" s="43" t="s">
        <v>36</v>
      </c>
      <c r="B4" s="53" t="s">
        <v>38</v>
      </c>
      <c r="C4" s="44" t="s">
        <v>32</v>
      </c>
      <c r="D4" s="44" t="s">
        <v>38</v>
      </c>
      <c r="I4" s="49" t="s">
        <v>33</v>
      </c>
      <c r="J4" s="54" t="s">
        <v>39</v>
      </c>
      <c r="K4" s="49" t="s">
        <v>29</v>
      </c>
      <c r="L4" s="49" t="s">
        <v>41</v>
      </c>
      <c r="M4" s="49"/>
      <c r="N4" s="49"/>
    </row>
    <row r="5">
      <c r="A5" s="43" t="s">
        <v>42</v>
      </c>
      <c r="B5" s="44" t="s">
        <v>43</v>
      </c>
      <c r="C5" s="44" t="s">
        <v>44</v>
      </c>
      <c r="D5" s="44" t="s">
        <v>45</v>
      </c>
      <c r="I5" s="49" t="s">
        <v>46</v>
      </c>
      <c r="J5" s="49" t="s">
        <v>38</v>
      </c>
      <c r="K5" s="49" t="s">
        <v>44</v>
      </c>
      <c r="L5" s="49" t="s">
        <v>43</v>
      </c>
      <c r="M5" s="49"/>
      <c r="N5" s="49"/>
    </row>
    <row r="6">
      <c r="A6" s="43" t="s">
        <v>47</v>
      </c>
      <c r="B6" s="59" t="s">
        <v>48</v>
      </c>
      <c r="C6" s="59" t="s">
        <v>33</v>
      </c>
      <c r="D6" s="44" t="s">
        <v>32</v>
      </c>
      <c r="I6" s="49" t="s">
        <v>50</v>
      </c>
      <c r="J6" s="49" t="s">
        <v>32</v>
      </c>
      <c r="K6" s="54" t="s">
        <v>51</v>
      </c>
      <c r="L6" s="54" t="s">
        <v>48</v>
      </c>
      <c r="M6" s="49"/>
      <c r="N6" s="49"/>
    </row>
    <row r="7">
      <c r="A7" s="63" t="s">
        <v>52</v>
      </c>
      <c r="B7" s="44" t="s">
        <v>54</v>
      </c>
      <c r="C7" s="59" t="s">
        <v>51</v>
      </c>
      <c r="D7" s="59" t="s">
        <v>39</v>
      </c>
      <c r="I7" s="54" t="s">
        <v>55</v>
      </c>
      <c r="J7" s="49" t="s">
        <v>45</v>
      </c>
      <c r="K7" s="49" t="s">
        <v>32</v>
      </c>
      <c r="L7" s="49" t="s">
        <v>54</v>
      </c>
      <c r="M7" s="49"/>
      <c r="N7" s="49"/>
    </row>
    <row r="8">
      <c r="A8" s="43" t="s">
        <v>56</v>
      </c>
      <c r="B8" s="65"/>
      <c r="C8" s="59" t="s">
        <v>28</v>
      </c>
      <c r="D8" s="44" t="s">
        <v>29</v>
      </c>
      <c r="I8" s="49"/>
      <c r="J8" s="49" t="s">
        <v>29</v>
      </c>
      <c r="K8" s="48" t="s">
        <v>28</v>
      </c>
      <c r="L8" s="49"/>
      <c r="M8" s="49"/>
      <c r="N8" s="49"/>
    </row>
    <row r="9">
      <c r="A9" s="43" t="s">
        <v>57</v>
      </c>
      <c r="B9" s="65"/>
      <c r="C9" s="59" t="s">
        <v>50</v>
      </c>
      <c r="D9" s="65"/>
      <c r="I9" s="49"/>
      <c r="J9" s="49"/>
      <c r="K9" s="49" t="s">
        <v>38</v>
      </c>
      <c r="L9" s="49"/>
      <c r="M9" s="49"/>
      <c r="N9" s="49"/>
    </row>
    <row r="10">
      <c r="A10" s="63" t="s">
        <v>59</v>
      </c>
      <c r="B10" s="65"/>
      <c r="C10" s="44" t="s">
        <v>61</v>
      </c>
      <c r="D10" s="65"/>
      <c r="I10" s="49"/>
      <c r="J10" s="49"/>
      <c r="K10" s="49"/>
      <c r="L10" s="49"/>
      <c r="M10" s="49"/>
      <c r="N10" s="49"/>
    </row>
    <row r="11">
      <c r="A11" s="63" t="s">
        <v>64</v>
      </c>
      <c r="B11" s="65"/>
      <c r="C11" s="65"/>
      <c r="D11" s="65"/>
      <c r="I11" s="49"/>
      <c r="J11" s="49"/>
      <c r="K11" s="49"/>
      <c r="L11" s="49"/>
      <c r="M11" s="49"/>
      <c r="N11" s="49"/>
    </row>
    <row r="12">
      <c r="A12" s="69"/>
      <c r="B12" s="69"/>
      <c r="C12" s="69"/>
      <c r="D12" s="69"/>
    </row>
    <row r="13">
      <c r="A13" s="69"/>
      <c r="B13" s="69"/>
      <c r="C13" s="72" t="s">
        <v>14</v>
      </c>
      <c r="D13" s="69"/>
    </row>
    <row r="14">
      <c r="C14" s="44" t="s">
        <v>32</v>
      </c>
    </row>
    <row r="15">
      <c r="C15" s="53" t="s">
        <v>46</v>
      </c>
    </row>
    <row r="16">
      <c r="C16" s="59"/>
    </row>
    <row r="17">
      <c r="A17" s="20"/>
      <c r="C17" s="59" t="s">
        <v>50</v>
      </c>
    </row>
    <row r="18">
      <c r="A18" s="20"/>
      <c r="C18" s="59" t="s">
        <v>33</v>
      </c>
    </row>
    <row r="19">
      <c r="A19" s="20"/>
      <c r="C19" s="53" t="s">
        <v>42</v>
      </c>
    </row>
    <row r="20">
      <c r="A20" s="20"/>
    </row>
    <row r="21" ht="15.75" customHeight="1">
      <c r="A21" s="20"/>
    </row>
    <row r="22" ht="15.75" customHeight="1">
      <c r="A22" s="20"/>
    </row>
    <row r="23" ht="15.75" customHeight="1">
      <c r="A23" s="20"/>
    </row>
    <row r="24" ht="15.75" customHeight="1">
      <c r="A24" s="20"/>
    </row>
    <row r="25" ht="15.75" customHeight="1">
      <c r="A25" s="20"/>
    </row>
    <row r="26" ht="15.75" customHeight="1">
      <c r="A26" s="20"/>
    </row>
    <row r="27" ht="15.75" customHeight="1">
      <c r="A27" s="20"/>
    </row>
    <row r="28" ht="15.75" customHeight="1">
      <c r="A28" s="20"/>
    </row>
    <row r="29" ht="15.75" customHeight="1">
      <c r="A29" s="20"/>
    </row>
    <row r="30" ht="15.75" customHeight="1">
      <c r="A30" s="20"/>
    </row>
    <row r="31" ht="15.75" customHeight="1">
      <c r="A31" s="20"/>
    </row>
    <row r="32" ht="15.75" customHeight="1">
      <c r="A32" s="20"/>
    </row>
    <row r="33" ht="15.75" customHeight="1">
      <c r="A33" s="20"/>
    </row>
    <row r="34" ht="15.75" customHeight="1">
      <c r="A34" s="20"/>
    </row>
    <row r="35" ht="15.75" customHeight="1">
      <c r="A35" s="20"/>
    </row>
    <row r="36" ht="15.75" customHeight="1">
      <c r="A36" s="20"/>
    </row>
    <row r="37" ht="15.75" customHeight="1">
      <c r="A37" s="20"/>
    </row>
    <row r="38" ht="15.75" customHeight="1">
      <c r="A38" s="20"/>
    </row>
    <row r="39" ht="15.75" customHeight="1">
      <c r="A39" s="20"/>
    </row>
    <row r="40" ht="15.75" customHeight="1">
      <c r="A40" s="20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I1:N1"/>
  </mergeCells>
  <printOptions/>
  <pageMargins bottom="1.1437499999999998" footer="0.0" header="0.0" left="0.7" right="0.7" top="1.1437499999999998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8" width="17.29"/>
    <col customWidth="1" min="9" max="13" width="26.0"/>
    <col customWidth="1" min="14" max="14" width="40.43"/>
    <col customWidth="1" min="15" max="27" width="26.0"/>
    <col customWidth="1" min="28" max="28" width="26.14"/>
    <col customWidth="1" min="29" max="29" width="26.0"/>
    <col customWidth="1" min="30" max="30" width="26.14"/>
  </cols>
  <sheetData>
    <row r="1" ht="32.25" customHeight="1">
      <c r="A1" s="76"/>
      <c r="B1" s="78" t="s">
        <v>1</v>
      </c>
      <c r="C1" s="82" t="s">
        <v>83</v>
      </c>
      <c r="D1" s="84"/>
      <c r="E1" s="78" t="s">
        <v>85</v>
      </c>
      <c r="F1" s="86">
        <v>2024.0</v>
      </c>
      <c r="G1" s="87"/>
      <c r="H1" s="87"/>
      <c r="I1" s="76"/>
      <c r="J1" s="76"/>
      <c r="K1" s="76"/>
      <c r="L1" s="76"/>
      <c r="M1" s="76"/>
      <c r="N1" s="89">
        <f>DATE(F1,VLOOKUP(C1,AA2:AB13,2,0),1)</f>
        <v>45566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2" t="s">
        <v>1</v>
      </c>
      <c r="AB1" s="92"/>
      <c r="AC1" s="94"/>
      <c r="AD1" s="94" t="s">
        <v>85</v>
      </c>
    </row>
    <row r="2" ht="45.75" hidden="1" customHeight="1">
      <c r="A2" s="76"/>
      <c r="B2" s="87"/>
      <c r="C2" s="87"/>
      <c r="D2" s="87"/>
      <c r="E2" s="87"/>
      <c r="F2" s="87"/>
      <c r="G2" s="87"/>
      <c r="H2" s="87"/>
      <c r="I2" s="76"/>
      <c r="J2" s="76"/>
      <c r="K2" s="76"/>
      <c r="L2" s="76"/>
      <c r="M2" s="76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 t="s">
        <v>17</v>
      </c>
      <c r="AB2" s="90">
        <v>1.0</v>
      </c>
      <c r="AC2" s="76"/>
      <c r="AD2" s="76">
        <v>2017.0</v>
      </c>
    </row>
    <row r="3" ht="45.75" hidden="1" customHeight="1">
      <c r="A3" s="76"/>
      <c r="B3" s="87"/>
      <c r="C3" s="87"/>
      <c r="D3" s="87"/>
      <c r="E3" s="87"/>
      <c r="F3" s="87"/>
      <c r="G3" s="87"/>
      <c r="H3" s="87"/>
      <c r="I3" s="76"/>
      <c r="J3" s="76"/>
      <c r="K3" s="76"/>
      <c r="L3" s="76"/>
      <c r="M3" s="76"/>
      <c r="N3" s="90">
        <f>WEEKDAY(Begin)</f>
        <v>3</v>
      </c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 t="s">
        <v>40</v>
      </c>
      <c r="AB3" s="90">
        <v>2.0</v>
      </c>
      <c r="AC3" s="76"/>
      <c r="AD3" s="76">
        <v>2018.0</v>
      </c>
    </row>
    <row r="4" ht="45.75" hidden="1" customHeight="1">
      <c r="A4" s="76"/>
      <c r="B4" s="87"/>
      <c r="C4" s="87"/>
      <c r="D4" s="87"/>
      <c r="E4" s="87"/>
      <c r="F4" s="87"/>
      <c r="G4" s="87"/>
      <c r="H4" s="87"/>
      <c r="I4" s="76"/>
      <c r="J4" s="76"/>
      <c r="K4" s="76"/>
      <c r="L4" s="76"/>
      <c r="M4" s="76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 t="s">
        <v>63</v>
      </c>
      <c r="AB4" s="90">
        <v>3.0</v>
      </c>
      <c r="AC4" s="76"/>
      <c r="AD4" s="76">
        <v>2019.0</v>
      </c>
    </row>
    <row r="5" ht="45.75" hidden="1" customHeight="1">
      <c r="A5" s="76"/>
      <c r="B5" s="87"/>
      <c r="C5" s="87"/>
      <c r="D5" s="87"/>
      <c r="E5" s="87"/>
      <c r="F5" s="87"/>
      <c r="G5" s="87"/>
      <c r="H5" s="87"/>
      <c r="I5" s="76"/>
      <c r="J5" s="76"/>
      <c r="K5" s="76"/>
      <c r="L5" s="76"/>
      <c r="M5" s="76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 t="s">
        <v>70</v>
      </c>
      <c r="AB5" s="90">
        <v>4.0</v>
      </c>
      <c r="AC5" s="76"/>
      <c r="AD5" s="76">
        <v>2020.0</v>
      </c>
    </row>
    <row r="6" ht="45.75" customHeight="1">
      <c r="A6" s="97"/>
      <c r="B6" s="98" t="str">
        <f>C1&amp;" "&amp;F1</f>
        <v>October 2024</v>
      </c>
      <c r="C6" s="99"/>
      <c r="D6" s="99"/>
      <c r="E6" s="99"/>
      <c r="F6" s="99"/>
      <c r="G6" s="99"/>
      <c r="H6" s="101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 t="s">
        <v>57</v>
      </c>
      <c r="AB6" s="97">
        <v>5.0</v>
      </c>
      <c r="AC6" s="97"/>
      <c r="AD6" s="97">
        <v>2021.0</v>
      </c>
    </row>
    <row r="7" ht="45.75" customHeight="1">
      <c r="A7" s="76"/>
      <c r="B7" s="102" t="s">
        <v>97</v>
      </c>
      <c r="C7" s="103" t="s">
        <v>98</v>
      </c>
      <c r="D7" s="103" t="s">
        <v>99</v>
      </c>
      <c r="E7" s="103" t="s">
        <v>100</v>
      </c>
      <c r="F7" s="103" t="s">
        <v>101</v>
      </c>
      <c r="G7" s="103" t="s">
        <v>102</v>
      </c>
      <c r="H7" s="104" t="s">
        <v>103</v>
      </c>
      <c r="I7" s="76"/>
      <c r="J7" s="76"/>
      <c r="K7" s="76"/>
      <c r="L7" s="76"/>
      <c r="M7" s="76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 t="s">
        <v>77</v>
      </c>
      <c r="AB7" s="90">
        <v>6.0</v>
      </c>
      <c r="AC7" s="76"/>
      <c r="AD7" s="76">
        <v>2022.0</v>
      </c>
    </row>
    <row r="8" ht="45.75" customHeight="1">
      <c r="A8" s="76"/>
      <c r="B8" s="106">
        <f>Begin-(WEEKDAY(Begin)-1)</f>
        <v>45564</v>
      </c>
      <c r="C8" s="107">
        <f t="shared" ref="C8:H8" si="1">IF(B8&lt;&gt;"",B8+1,$H7+1)</f>
        <v>45565</v>
      </c>
      <c r="D8" s="107">
        <f t="shared" si="1"/>
        <v>45566</v>
      </c>
      <c r="E8" s="107">
        <f t="shared" si="1"/>
        <v>45567</v>
      </c>
      <c r="F8" s="107">
        <f t="shared" si="1"/>
        <v>45568</v>
      </c>
      <c r="G8" s="107">
        <f t="shared" si="1"/>
        <v>45569</v>
      </c>
      <c r="H8" s="109">
        <f t="shared" si="1"/>
        <v>45570</v>
      </c>
      <c r="I8" s="76"/>
      <c r="J8" s="76"/>
      <c r="K8" s="76"/>
      <c r="L8" s="76"/>
      <c r="M8" s="76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 t="s">
        <v>86</v>
      </c>
      <c r="AB8" s="90">
        <v>7.0</v>
      </c>
      <c r="AC8" s="76"/>
      <c r="AD8" s="76">
        <v>2023.0</v>
      </c>
    </row>
    <row r="9" ht="45.75" customHeight="1">
      <c r="A9" s="76"/>
      <c r="B9" s="112">
        <f t="shared" ref="B9:H9" si="2">IF(A9&lt;&gt;"",A9+1,$H8+1)</f>
        <v>45571</v>
      </c>
      <c r="C9" s="114">
        <f t="shared" si="2"/>
        <v>45572</v>
      </c>
      <c r="D9" s="114">
        <f t="shared" si="2"/>
        <v>45573</v>
      </c>
      <c r="E9" s="114">
        <f t="shared" si="2"/>
        <v>45574</v>
      </c>
      <c r="F9" s="114">
        <f t="shared" si="2"/>
        <v>45575</v>
      </c>
      <c r="G9" s="114">
        <f t="shared" si="2"/>
        <v>45576</v>
      </c>
      <c r="H9" s="115">
        <f t="shared" si="2"/>
        <v>45577</v>
      </c>
      <c r="I9" s="76"/>
      <c r="J9" s="76"/>
      <c r="K9" s="76"/>
      <c r="L9" s="76"/>
      <c r="M9" s="76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 t="s">
        <v>89</v>
      </c>
      <c r="AB9" s="90">
        <v>8.0</v>
      </c>
      <c r="AC9" s="76"/>
      <c r="AD9" s="76">
        <v>2024.0</v>
      </c>
    </row>
    <row r="10" ht="45.75" customHeight="1">
      <c r="A10" s="76"/>
      <c r="B10" s="112">
        <f t="shared" ref="B10:H10" si="3">IF(A10&lt;&gt;"",A10+1,$H9+1)</f>
        <v>45578</v>
      </c>
      <c r="C10" s="114">
        <f t="shared" si="3"/>
        <v>45579</v>
      </c>
      <c r="D10" s="114">
        <f t="shared" si="3"/>
        <v>45580</v>
      </c>
      <c r="E10" s="114">
        <f t="shared" si="3"/>
        <v>45581</v>
      </c>
      <c r="F10" s="114">
        <f t="shared" si="3"/>
        <v>45582</v>
      </c>
      <c r="G10" s="114">
        <f t="shared" si="3"/>
        <v>45583</v>
      </c>
      <c r="H10" s="115">
        <f t="shared" si="3"/>
        <v>45584</v>
      </c>
      <c r="I10" s="76"/>
      <c r="J10" s="76"/>
      <c r="K10" s="76"/>
      <c r="L10" s="76"/>
      <c r="M10" s="76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 t="s">
        <v>93</v>
      </c>
      <c r="AB10" s="90">
        <v>9.0</v>
      </c>
      <c r="AC10" s="76"/>
      <c r="AD10" s="76">
        <v>2025.0</v>
      </c>
    </row>
    <row r="11" ht="45.75" customHeight="1">
      <c r="A11" s="76"/>
      <c r="B11" s="112">
        <f t="shared" ref="B11:H11" si="4">IF(A11&lt;&gt;"",A11+1,$H10+1)</f>
        <v>45585</v>
      </c>
      <c r="C11" s="114">
        <f t="shared" si="4"/>
        <v>45586</v>
      </c>
      <c r="D11" s="114">
        <f t="shared" si="4"/>
        <v>45587</v>
      </c>
      <c r="E11" s="114">
        <f t="shared" si="4"/>
        <v>45588</v>
      </c>
      <c r="F11" s="114">
        <f t="shared" si="4"/>
        <v>45589</v>
      </c>
      <c r="G11" s="114">
        <f t="shared" si="4"/>
        <v>45590</v>
      </c>
      <c r="H11" s="115">
        <f t="shared" si="4"/>
        <v>45591</v>
      </c>
      <c r="I11" s="76"/>
      <c r="J11" s="76"/>
      <c r="K11" s="76"/>
      <c r="L11" s="76"/>
      <c r="M11" s="76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 t="s">
        <v>83</v>
      </c>
      <c r="AB11" s="90">
        <v>10.0</v>
      </c>
      <c r="AC11" s="76"/>
      <c r="AD11" s="76">
        <v>2026.0</v>
      </c>
    </row>
    <row r="12" ht="45.75" customHeight="1">
      <c r="A12" s="76"/>
      <c r="B12" s="112">
        <f t="shared" ref="B12:H12" si="5">IF(A12&lt;&gt;"",A12+1,$H11+1)</f>
        <v>45592</v>
      </c>
      <c r="C12" s="114">
        <f t="shared" si="5"/>
        <v>45593</v>
      </c>
      <c r="D12" s="114">
        <f t="shared" si="5"/>
        <v>45594</v>
      </c>
      <c r="E12" s="114">
        <f t="shared" si="5"/>
        <v>45595</v>
      </c>
      <c r="F12" s="114">
        <f t="shared" si="5"/>
        <v>45596</v>
      </c>
      <c r="G12" s="114">
        <f t="shared" si="5"/>
        <v>45597</v>
      </c>
      <c r="H12" s="115">
        <f t="shared" si="5"/>
        <v>45598</v>
      </c>
      <c r="I12" s="76"/>
      <c r="J12" s="76"/>
      <c r="K12" s="76"/>
      <c r="L12" s="76"/>
      <c r="M12" s="76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 t="s">
        <v>96</v>
      </c>
      <c r="AB12" s="90">
        <v>11.0</v>
      </c>
      <c r="AC12" s="76"/>
      <c r="AD12" s="76">
        <v>2027.0</v>
      </c>
    </row>
    <row r="13" ht="45.75" customHeight="1">
      <c r="A13" s="76"/>
      <c r="B13" s="123">
        <f t="shared" ref="B13:H13" si="6">IF(A13&lt;&gt;"",A13+1,$H12+1)</f>
        <v>45599</v>
      </c>
      <c r="C13" s="126">
        <f t="shared" si="6"/>
        <v>45600</v>
      </c>
      <c r="D13" s="126">
        <f t="shared" si="6"/>
        <v>45601</v>
      </c>
      <c r="E13" s="126">
        <f t="shared" si="6"/>
        <v>45602</v>
      </c>
      <c r="F13" s="126">
        <f t="shared" si="6"/>
        <v>45603</v>
      </c>
      <c r="G13" s="126">
        <f t="shared" si="6"/>
        <v>45604</v>
      </c>
      <c r="H13" s="127">
        <f t="shared" si="6"/>
        <v>45605</v>
      </c>
      <c r="I13" s="76"/>
      <c r="J13" s="76"/>
      <c r="K13" s="76"/>
      <c r="L13" s="76"/>
      <c r="M13" s="76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 t="s">
        <v>104</v>
      </c>
      <c r="AB13" s="90">
        <v>12.0</v>
      </c>
      <c r="AC13" s="76"/>
      <c r="AD13" s="76"/>
    </row>
    <row r="14" ht="45.75" customHeight="1">
      <c r="A14" s="76"/>
      <c r="B14" s="87"/>
      <c r="C14" s="87"/>
      <c r="D14" s="87"/>
      <c r="E14" s="87"/>
      <c r="F14" s="87"/>
      <c r="G14" s="87"/>
      <c r="H14" s="87"/>
      <c r="I14" s="76"/>
      <c r="J14" s="76"/>
      <c r="K14" s="76"/>
      <c r="L14" s="76"/>
      <c r="M14" s="76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76"/>
      <c r="AD14" s="76"/>
    </row>
    <row r="15" ht="45.75" customHeight="1">
      <c r="A15" s="76"/>
      <c r="B15" s="87"/>
      <c r="C15" s="87"/>
      <c r="D15" s="87"/>
      <c r="E15" s="87"/>
      <c r="F15" s="87"/>
      <c r="G15" s="87"/>
      <c r="H15" s="87"/>
      <c r="I15" s="76"/>
      <c r="J15" s="76"/>
      <c r="K15" s="76"/>
      <c r="L15" s="76"/>
      <c r="M15" s="76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76"/>
      <c r="AD15" s="76"/>
    </row>
    <row r="16" ht="45.75" customHeight="1">
      <c r="A16" s="76"/>
      <c r="B16" s="87"/>
      <c r="C16" s="87"/>
      <c r="D16" s="87"/>
      <c r="E16" s="87"/>
      <c r="F16" s="87"/>
      <c r="G16" s="87"/>
      <c r="H16" s="87"/>
      <c r="I16" s="76"/>
      <c r="J16" s="76"/>
      <c r="K16" s="76"/>
      <c r="L16" s="76"/>
      <c r="M16" s="76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76"/>
      <c r="AD16" s="76"/>
    </row>
    <row r="17" ht="45.75" customHeight="1">
      <c r="A17" s="76"/>
      <c r="B17" s="87"/>
      <c r="C17" s="87"/>
      <c r="D17" s="87"/>
      <c r="E17" s="87"/>
      <c r="F17" s="87"/>
      <c r="G17" s="87"/>
      <c r="H17" s="87"/>
      <c r="I17" s="76"/>
      <c r="J17" s="76"/>
      <c r="K17" s="76"/>
      <c r="L17" s="76"/>
      <c r="M17" s="7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76"/>
      <c r="AD17" s="76"/>
    </row>
    <row r="18" ht="45.75" customHeight="1">
      <c r="A18" s="76"/>
      <c r="B18" s="87"/>
      <c r="C18" s="87"/>
      <c r="D18" s="87"/>
      <c r="E18" s="87"/>
      <c r="F18" s="87"/>
      <c r="G18" s="87"/>
      <c r="H18" s="87"/>
      <c r="I18" s="76"/>
      <c r="J18" s="76"/>
      <c r="K18" s="76"/>
      <c r="L18" s="76"/>
      <c r="M18" s="76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76"/>
      <c r="AD18" s="76"/>
    </row>
    <row r="19" ht="45.75" customHeight="1">
      <c r="A19" s="76"/>
      <c r="B19" s="87"/>
      <c r="C19" s="87"/>
      <c r="D19" s="87"/>
      <c r="E19" s="87"/>
      <c r="F19" s="87"/>
      <c r="G19" s="87"/>
      <c r="H19" s="87"/>
      <c r="I19" s="76"/>
      <c r="J19" s="76"/>
      <c r="K19" s="76"/>
      <c r="L19" s="76"/>
      <c r="M19" s="76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76"/>
      <c r="AD19" s="76"/>
    </row>
    <row r="20" ht="45.75" customHeight="1">
      <c r="A20" s="76"/>
      <c r="B20" s="87"/>
      <c r="C20" s="87"/>
      <c r="D20" s="87"/>
      <c r="E20" s="87"/>
      <c r="F20" s="87"/>
      <c r="G20" s="87"/>
      <c r="H20" s="87"/>
      <c r="I20" s="76"/>
      <c r="J20" s="76"/>
      <c r="K20" s="76"/>
      <c r="L20" s="76"/>
      <c r="M20" s="76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76"/>
      <c r="AD20" s="76"/>
    </row>
    <row r="21" ht="45.75" customHeight="1">
      <c r="A21" s="76"/>
      <c r="B21" s="87"/>
      <c r="C21" s="87"/>
      <c r="D21" s="87"/>
      <c r="E21" s="87"/>
      <c r="F21" s="87"/>
      <c r="G21" s="87"/>
      <c r="H21" s="87"/>
      <c r="I21" s="76"/>
      <c r="J21" s="76"/>
      <c r="K21" s="76"/>
      <c r="L21" s="76"/>
      <c r="M21" s="76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76"/>
      <c r="AD21" s="76"/>
    </row>
    <row r="22" ht="45.75" customHeight="1">
      <c r="A22" s="76"/>
      <c r="B22" s="87"/>
      <c r="C22" s="87"/>
      <c r="D22" s="87"/>
      <c r="E22" s="87"/>
      <c r="F22" s="87"/>
      <c r="G22" s="87"/>
      <c r="H22" s="87"/>
      <c r="I22" s="76"/>
      <c r="J22" s="76"/>
      <c r="K22" s="76"/>
      <c r="L22" s="76"/>
      <c r="M22" s="76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76"/>
      <c r="AD22" s="76"/>
    </row>
    <row r="23" ht="45.75" customHeight="1">
      <c r="A23" s="76"/>
      <c r="B23" s="87"/>
      <c r="C23" s="87"/>
      <c r="D23" s="87"/>
      <c r="E23" s="87"/>
      <c r="F23" s="87"/>
      <c r="G23" s="87"/>
      <c r="H23" s="87"/>
      <c r="I23" s="76"/>
      <c r="J23" s="76"/>
      <c r="K23" s="76"/>
      <c r="L23" s="76"/>
      <c r="M23" s="76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76"/>
      <c r="AD23" s="76"/>
    </row>
    <row r="24" ht="45.75" customHeight="1">
      <c r="A24" s="76"/>
      <c r="B24" s="87"/>
      <c r="C24" s="87"/>
      <c r="D24" s="87"/>
      <c r="E24" s="87"/>
      <c r="F24" s="87"/>
      <c r="G24" s="87"/>
      <c r="H24" s="87"/>
      <c r="I24" s="76"/>
      <c r="J24" s="76"/>
      <c r="K24" s="76"/>
      <c r="L24" s="76"/>
      <c r="M24" s="76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76"/>
      <c r="AD24" s="76"/>
    </row>
    <row r="25" ht="45.75" customHeight="1">
      <c r="A25" s="76"/>
      <c r="B25" s="87"/>
      <c r="C25" s="87"/>
      <c r="D25" s="87"/>
      <c r="E25" s="87"/>
      <c r="F25" s="87"/>
      <c r="G25" s="87"/>
      <c r="H25" s="87"/>
      <c r="I25" s="76"/>
      <c r="J25" s="76"/>
      <c r="K25" s="76"/>
      <c r="L25" s="76"/>
      <c r="M25" s="76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76"/>
      <c r="AD25" s="76"/>
    </row>
    <row r="26" ht="45.75" customHeight="1">
      <c r="A26" s="76"/>
      <c r="B26" s="87"/>
      <c r="C26" s="87"/>
      <c r="D26" s="87"/>
      <c r="E26" s="87"/>
      <c r="F26" s="87"/>
      <c r="G26" s="87"/>
      <c r="H26" s="87"/>
      <c r="I26" s="76"/>
      <c r="J26" s="76"/>
      <c r="K26" s="76"/>
      <c r="L26" s="76"/>
      <c r="M26" s="76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76"/>
      <c r="AD26" s="76"/>
    </row>
    <row r="27" ht="45.75" customHeight="1">
      <c r="A27" s="76"/>
      <c r="B27" s="87"/>
      <c r="C27" s="87"/>
      <c r="D27" s="87"/>
      <c r="E27" s="87"/>
      <c r="F27" s="87"/>
      <c r="G27" s="87"/>
      <c r="H27" s="87"/>
      <c r="I27" s="76"/>
      <c r="J27" s="76"/>
      <c r="K27" s="76"/>
      <c r="L27" s="76"/>
      <c r="M27" s="76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76"/>
      <c r="AD27" s="76"/>
    </row>
    <row r="28" ht="45.75" customHeight="1">
      <c r="A28" s="76"/>
      <c r="B28" s="87"/>
      <c r="C28" s="87"/>
      <c r="D28" s="87"/>
      <c r="E28" s="87"/>
      <c r="F28" s="87"/>
      <c r="G28" s="87"/>
      <c r="H28" s="87"/>
      <c r="I28" s="76"/>
      <c r="J28" s="76"/>
      <c r="K28" s="76"/>
      <c r="L28" s="76"/>
      <c r="M28" s="76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76"/>
      <c r="AD28" s="76"/>
    </row>
    <row r="29" ht="45.75" customHeight="1">
      <c r="A29" s="76"/>
      <c r="B29" s="87"/>
      <c r="C29" s="87"/>
      <c r="D29" s="87"/>
      <c r="E29" s="87"/>
      <c r="F29" s="87"/>
      <c r="G29" s="87"/>
      <c r="H29" s="87"/>
      <c r="I29" s="76"/>
      <c r="J29" s="76"/>
      <c r="K29" s="76"/>
      <c r="L29" s="76"/>
      <c r="M29" s="76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76"/>
      <c r="AD29" s="76"/>
    </row>
    <row r="30" ht="45.75" customHeight="1">
      <c r="A30" s="76"/>
      <c r="B30" s="87"/>
      <c r="C30" s="87"/>
      <c r="D30" s="87"/>
      <c r="E30" s="87"/>
      <c r="F30" s="87"/>
      <c r="G30" s="87"/>
      <c r="H30" s="87"/>
      <c r="I30" s="76"/>
      <c r="J30" s="76"/>
      <c r="K30" s="76"/>
      <c r="L30" s="76"/>
      <c r="M30" s="7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76"/>
      <c r="AD30" s="76"/>
    </row>
    <row r="31" ht="45.75" customHeight="1">
      <c r="A31" s="76"/>
      <c r="B31" s="87"/>
      <c r="C31" s="87"/>
      <c r="D31" s="87"/>
      <c r="E31" s="87"/>
      <c r="F31" s="87"/>
      <c r="G31" s="87"/>
      <c r="H31" s="87"/>
      <c r="I31" s="76"/>
      <c r="J31" s="76"/>
      <c r="K31" s="76"/>
      <c r="L31" s="76"/>
      <c r="M31" s="76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76"/>
      <c r="AD31" s="76"/>
    </row>
    <row r="32" ht="45.75" customHeight="1">
      <c r="A32" s="76"/>
      <c r="B32" s="87"/>
      <c r="C32" s="87"/>
      <c r="D32" s="87"/>
      <c r="E32" s="87"/>
      <c r="F32" s="87"/>
      <c r="G32" s="87"/>
      <c r="H32" s="87"/>
      <c r="I32" s="76"/>
      <c r="J32" s="76"/>
      <c r="K32" s="76"/>
      <c r="L32" s="76"/>
      <c r="M32" s="76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76"/>
      <c r="AD32" s="76"/>
    </row>
    <row r="33" ht="45.75" customHeight="1">
      <c r="A33" s="76"/>
      <c r="B33" s="87"/>
      <c r="C33" s="87"/>
      <c r="D33" s="87"/>
      <c r="E33" s="87"/>
      <c r="F33" s="87"/>
      <c r="G33" s="87"/>
      <c r="H33" s="87"/>
      <c r="I33" s="76"/>
      <c r="J33" s="76"/>
      <c r="K33" s="76"/>
      <c r="L33" s="76"/>
      <c r="M33" s="76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76"/>
      <c r="AD33" s="76"/>
    </row>
    <row r="34" ht="45.75" customHeight="1">
      <c r="A34" s="76"/>
      <c r="B34" s="87"/>
      <c r="C34" s="87"/>
      <c r="D34" s="87"/>
      <c r="E34" s="87"/>
      <c r="F34" s="87"/>
      <c r="G34" s="87"/>
      <c r="H34" s="87"/>
      <c r="I34" s="76"/>
      <c r="J34" s="76"/>
      <c r="K34" s="76"/>
      <c r="L34" s="76"/>
      <c r="M34" s="76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76"/>
      <c r="AD34" s="76"/>
    </row>
    <row r="35" ht="45.75" customHeight="1">
      <c r="A35" s="76"/>
      <c r="B35" s="87"/>
      <c r="C35" s="87"/>
      <c r="D35" s="87"/>
      <c r="E35" s="87"/>
      <c r="F35" s="87"/>
      <c r="G35" s="87"/>
      <c r="H35" s="87"/>
      <c r="I35" s="76"/>
      <c r="J35" s="76"/>
      <c r="K35" s="76"/>
      <c r="L35" s="76"/>
      <c r="M35" s="76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76"/>
      <c r="AD35" s="76"/>
    </row>
    <row r="36" ht="45.75" customHeight="1">
      <c r="A36" s="76"/>
      <c r="B36" s="87"/>
      <c r="C36" s="87"/>
      <c r="D36" s="87"/>
      <c r="E36" s="87"/>
      <c r="F36" s="87"/>
      <c r="G36" s="87"/>
      <c r="H36" s="87"/>
      <c r="I36" s="76"/>
      <c r="J36" s="76"/>
      <c r="K36" s="76"/>
      <c r="L36" s="76"/>
      <c r="M36" s="76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76"/>
      <c r="AD36" s="76"/>
    </row>
    <row r="37" ht="45.75" customHeight="1">
      <c r="A37" s="76"/>
      <c r="B37" s="87"/>
      <c r="C37" s="87"/>
      <c r="D37" s="87"/>
      <c r="E37" s="87"/>
      <c r="F37" s="87"/>
      <c r="G37" s="87"/>
      <c r="H37" s="87"/>
      <c r="I37" s="76"/>
      <c r="J37" s="76"/>
      <c r="K37" s="76"/>
      <c r="L37" s="76"/>
      <c r="M37" s="76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76"/>
      <c r="AD37" s="76"/>
    </row>
    <row r="38" ht="45.75" customHeight="1">
      <c r="A38" s="76"/>
      <c r="B38" s="87"/>
      <c r="C38" s="87"/>
      <c r="D38" s="87"/>
      <c r="E38" s="87"/>
      <c r="F38" s="87"/>
      <c r="G38" s="87"/>
      <c r="H38" s="87"/>
      <c r="I38" s="76"/>
      <c r="J38" s="76"/>
      <c r="K38" s="76"/>
      <c r="L38" s="76"/>
      <c r="M38" s="76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76"/>
      <c r="AD38" s="76"/>
    </row>
    <row r="39" ht="45.75" customHeight="1">
      <c r="A39" s="76"/>
      <c r="B39" s="87"/>
      <c r="C39" s="87"/>
      <c r="D39" s="87"/>
      <c r="E39" s="87"/>
      <c r="F39" s="87"/>
      <c r="G39" s="87"/>
      <c r="H39" s="87"/>
      <c r="I39" s="76"/>
      <c r="J39" s="76"/>
      <c r="K39" s="76"/>
      <c r="L39" s="76"/>
      <c r="M39" s="76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76"/>
      <c r="AD39" s="76"/>
    </row>
    <row r="40" ht="45.75" customHeight="1">
      <c r="A40" s="76"/>
      <c r="B40" s="87"/>
      <c r="C40" s="87"/>
      <c r="D40" s="87"/>
      <c r="E40" s="87"/>
      <c r="F40" s="87"/>
      <c r="G40" s="87"/>
      <c r="H40" s="87"/>
      <c r="I40" s="76"/>
      <c r="J40" s="76"/>
      <c r="K40" s="76"/>
      <c r="L40" s="76"/>
      <c r="M40" s="76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76"/>
      <c r="AD40" s="76"/>
    </row>
    <row r="41" ht="45.75" customHeight="1">
      <c r="A41" s="76"/>
      <c r="B41" s="87"/>
      <c r="C41" s="87"/>
      <c r="D41" s="87"/>
      <c r="E41" s="87"/>
      <c r="F41" s="87"/>
      <c r="G41" s="87"/>
      <c r="H41" s="87"/>
      <c r="I41" s="76"/>
      <c r="J41" s="76"/>
      <c r="K41" s="76"/>
      <c r="L41" s="76"/>
      <c r="M41" s="76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76"/>
      <c r="AD41" s="76"/>
    </row>
    <row r="42" ht="45.75" customHeight="1">
      <c r="A42" s="76"/>
      <c r="B42" s="87"/>
      <c r="C42" s="87"/>
      <c r="D42" s="87"/>
      <c r="E42" s="87"/>
      <c r="F42" s="87"/>
      <c r="G42" s="87"/>
      <c r="H42" s="87"/>
      <c r="I42" s="76"/>
      <c r="J42" s="76"/>
      <c r="K42" s="76"/>
      <c r="L42" s="76"/>
      <c r="M42" s="76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76"/>
      <c r="AD42" s="76"/>
    </row>
    <row r="43" ht="45.75" customHeight="1">
      <c r="A43" s="76"/>
      <c r="B43" s="87"/>
      <c r="C43" s="87"/>
      <c r="D43" s="87"/>
      <c r="E43" s="87"/>
      <c r="F43" s="87"/>
      <c r="G43" s="87"/>
      <c r="H43" s="87"/>
      <c r="I43" s="76"/>
      <c r="J43" s="76"/>
      <c r="K43" s="76"/>
      <c r="L43" s="76"/>
      <c r="M43" s="7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76"/>
      <c r="AD43" s="76"/>
    </row>
    <row r="44" ht="45.75" customHeight="1">
      <c r="A44" s="76"/>
      <c r="B44" s="87"/>
      <c r="C44" s="87"/>
      <c r="D44" s="87"/>
      <c r="E44" s="87"/>
      <c r="F44" s="87"/>
      <c r="G44" s="87"/>
      <c r="H44" s="87"/>
      <c r="I44" s="76"/>
      <c r="J44" s="76"/>
      <c r="K44" s="76"/>
      <c r="L44" s="76"/>
      <c r="M44" s="76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76"/>
      <c r="AD44" s="76"/>
    </row>
    <row r="45" ht="45.75" customHeight="1">
      <c r="A45" s="76"/>
      <c r="B45" s="87"/>
      <c r="C45" s="87"/>
      <c r="D45" s="87"/>
      <c r="E45" s="87"/>
      <c r="F45" s="87"/>
      <c r="G45" s="87"/>
      <c r="H45" s="87"/>
      <c r="I45" s="76"/>
      <c r="J45" s="76"/>
      <c r="K45" s="76"/>
      <c r="L45" s="76"/>
      <c r="M45" s="76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76"/>
      <c r="AD45" s="76"/>
    </row>
    <row r="46" ht="45.75" customHeight="1">
      <c r="A46" s="76"/>
      <c r="B46" s="87"/>
      <c r="C46" s="87"/>
      <c r="D46" s="87"/>
      <c r="E46" s="87"/>
      <c r="F46" s="87"/>
      <c r="G46" s="87"/>
      <c r="H46" s="87"/>
      <c r="I46" s="76"/>
      <c r="J46" s="76"/>
      <c r="K46" s="76"/>
      <c r="L46" s="76"/>
      <c r="M46" s="76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76"/>
      <c r="AD46" s="76"/>
    </row>
    <row r="47" ht="45.75" customHeight="1">
      <c r="A47" s="76"/>
      <c r="B47" s="87"/>
      <c r="C47" s="87"/>
      <c r="D47" s="87"/>
      <c r="E47" s="87"/>
      <c r="F47" s="87"/>
      <c r="G47" s="87"/>
      <c r="H47" s="87"/>
      <c r="I47" s="76"/>
      <c r="J47" s="76"/>
      <c r="K47" s="76"/>
      <c r="L47" s="76"/>
      <c r="M47" s="76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76"/>
      <c r="AD47" s="76"/>
    </row>
    <row r="48" ht="45.75" customHeight="1">
      <c r="A48" s="76"/>
      <c r="B48" s="87"/>
      <c r="C48" s="87"/>
      <c r="D48" s="87"/>
      <c r="E48" s="87"/>
      <c r="F48" s="87"/>
      <c r="G48" s="87"/>
      <c r="H48" s="87"/>
      <c r="I48" s="76"/>
      <c r="J48" s="76"/>
      <c r="K48" s="76"/>
      <c r="L48" s="76"/>
      <c r="M48" s="76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76"/>
      <c r="AD48" s="76"/>
    </row>
    <row r="49" ht="45.75" customHeight="1">
      <c r="A49" s="76"/>
      <c r="B49" s="87"/>
      <c r="C49" s="87"/>
      <c r="D49" s="87"/>
      <c r="E49" s="87"/>
      <c r="F49" s="87"/>
      <c r="G49" s="87"/>
      <c r="H49" s="87"/>
      <c r="I49" s="76"/>
      <c r="J49" s="76"/>
      <c r="K49" s="76"/>
      <c r="L49" s="76"/>
      <c r="M49" s="76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76"/>
      <c r="AD49" s="76"/>
    </row>
    <row r="50" ht="45.75" customHeight="1">
      <c r="A50" s="76"/>
      <c r="B50" s="87"/>
      <c r="C50" s="87"/>
      <c r="D50" s="87"/>
      <c r="E50" s="87"/>
      <c r="F50" s="87"/>
      <c r="G50" s="87"/>
      <c r="H50" s="87"/>
      <c r="I50" s="76"/>
      <c r="J50" s="76"/>
      <c r="K50" s="76"/>
      <c r="L50" s="76"/>
      <c r="M50" s="76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76"/>
      <c r="AD50" s="76"/>
    </row>
    <row r="51" ht="45.75" customHeight="1">
      <c r="A51" s="76"/>
      <c r="B51" s="87"/>
      <c r="C51" s="87"/>
      <c r="D51" s="87"/>
      <c r="E51" s="87"/>
      <c r="F51" s="87"/>
      <c r="G51" s="87"/>
      <c r="H51" s="87"/>
      <c r="I51" s="76"/>
      <c r="J51" s="76"/>
      <c r="K51" s="76"/>
      <c r="L51" s="76"/>
      <c r="M51" s="76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76"/>
      <c r="AD51" s="76"/>
    </row>
    <row r="52" ht="45.75" customHeight="1">
      <c r="A52" s="76"/>
      <c r="B52" s="87"/>
      <c r="C52" s="87"/>
      <c r="D52" s="87"/>
      <c r="E52" s="87"/>
      <c r="F52" s="87"/>
      <c r="G52" s="87"/>
      <c r="H52" s="87"/>
      <c r="I52" s="76"/>
      <c r="J52" s="76"/>
      <c r="K52" s="76"/>
      <c r="L52" s="76"/>
      <c r="M52" s="76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76"/>
      <c r="AD52" s="76"/>
    </row>
    <row r="53" ht="45.75" customHeight="1">
      <c r="A53" s="76"/>
      <c r="B53" s="87"/>
      <c r="C53" s="87"/>
      <c r="D53" s="87"/>
      <c r="E53" s="87"/>
      <c r="F53" s="87"/>
      <c r="G53" s="87"/>
      <c r="H53" s="87"/>
      <c r="I53" s="76"/>
      <c r="J53" s="76"/>
      <c r="K53" s="76"/>
      <c r="L53" s="76"/>
      <c r="M53" s="76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76"/>
      <c r="AD53" s="76"/>
    </row>
    <row r="54" ht="45.75" customHeight="1">
      <c r="A54" s="76"/>
      <c r="B54" s="87"/>
      <c r="C54" s="87"/>
      <c r="D54" s="87"/>
      <c r="E54" s="87"/>
      <c r="F54" s="87"/>
      <c r="G54" s="87"/>
      <c r="H54" s="87"/>
      <c r="I54" s="76"/>
      <c r="J54" s="76"/>
      <c r="K54" s="76"/>
      <c r="L54" s="76"/>
      <c r="M54" s="76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76"/>
      <c r="AD54" s="76"/>
    </row>
    <row r="55" ht="45.75" customHeight="1">
      <c r="A55" s="76"/>
      <c r="B55" s="87"/>
      <c r="C55" s="87"/>
      <c r="D55" s="87"/>
      <c r="E55" s="87"/>
      <c r="F55" s="87"/>
      <c r="G55" s="87"/>
      <c r="H55" s="87"/>
      <c r="I55" s="76"/>
      <c r="J55" s="76"/>
      <c r="K55" s="76"/>
      <c r="L55" s="76"/>
      <c r="M55" s="76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76"/>
      <c r="AD55" s="76"/>
    </row>
    <row r="56" ht="45.75" customHeight="1">
      <c r="A56" s="76"/>
      <c r="B56" s="87"/>
      <c r="C56" s="87"/>
      <c r="D56" s="87"/>
      <c r="E56" s="87"/>
      <c r="F56" s="87"/>
      <c r="G56" s="87"/>
      <c r="H56" s="87"/>
      <c r="I56" s="76"/>
      <c r="J56" s="76"/>
      <c r="K56" s="76"/>
      <c r="L56" s="76"/>
      <c r="M56" s="7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76"/>
      <c r="AD56" s="76"/>
    </row>
    <row r="57" ht="45.75" customHeight="1">
      <c r="A57" s="76"/>
      <c r="B57" s="87"/>
      <c r="C57" s="87"/>
      <c r="D57" s="87"/>
      <c r="E57" s="87"/>
      <c r="F57" s="87"/>
      <c r="G57" s="87"/>
      <c r="H57" s="87"/>
      <c r="I57" s="76"/>
      <c r="J57" s="76"/>
      <c r="K57" s="76"/>
      <c r="L57" s="76"/>
      <c r="M57" s="76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76"/>
      <c r="AD57" s="76"/>
    </row>
    <row r="58" ht="45.75" customHeight="1">
      <c r="A58" s="76"/>
      <c r="B58" s="87"/>
      <c r="C58" s="87"/>
      <c r="D58" s="87"/>
      <c r="E58" s="87"/>
      <c r="F58" s="87"/>
      <c r="G58" s="87"/>
      <c r="H58" s="87"/>
      <c r="I58" s="76"/>
      <c r="J58" s="76"/>
      <c r="K58" s="76"/>
      <c r="L58" s="76"/>
      <c r="M58" s="76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76"/>
      <c r="AD58" s="76"/>
    </row>
    <row r="59" ht="45.75" customHeight="1">
      <c r="A59" s="76"/>
      <c r="B59" s="87"/>
      <c r="C59" s="87"/>
      <c r="D59" s="87"/>
      <c r="E59" s="87"/>
      <c r="F59" s="87"/>
      <c r="G59" s="87"/>
      <c r="H59" s="87"/>
      <c r="I59" s="76"/>
      <c r="J59" s="76"/>
      <c r="K59" s="76"/>
      <c r="L59" s="76"/>
      <c r="M59" s="76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76"/>
      <c r="AD59" s="76"/>
    </row>
    <row r="60" ht="45.75" customHeight="1">
      <c r="A60" s="76"/>
      <c r="B60" s="87"/>
      <c r="C60" s="87"/>
      <c r="D60" s="87"/>
      <c r="E60" s="87"/>
      <c r="F60" s="87"/>
      <c r="G60" s="87"/>
      <c r="H60" s="87"/>
      <c r="I60" s="76"/>
      <c r="J60" s="76"/>
      <c r="K60" s="76"/>
      <c r="L60" s="76"/>
      <c r="M60" s="76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76"/>
      <c r="AD60" s="76"/>
    </row>
    <row r="61" ht="45.75" customHeight="1">
      <c r="A61" s="76"/>
      <c r="B61" s="87"/>
      <c r="C61" s="87"/>
      <c r="D61" s="87"/>
      <c r="E61" s="87"/>
      <c r="F61" s="87"/>
      <c r="G61" s="87"/>
      <c r="H61" s="87"/>
      <c r="I61" s="76"/>
      <c r="J61" s="76"/>
      <c r="K61" s="76"/>
      <c r="L61" s="76"/>
      <c r="M61" s="76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76"/>
      <c r="AD61" s="76"/>
    </row>
    <row r="62" ht="45.75" customHeight="1">
      <c r="A62" s="76"/>
      <c r="B62" s="87"/>
      <c r="C62" s="87"/>
      <c r="D62" s="87"/>
      <c r="E62" s="87"/>
      <c r="F62" s="87"/>
      <c r="G62" s="87"/>
      <c r="H62" s="87"/>
      <c r="I62" s="76"/>
      <c r="J62" s="76"/>
      <c r="K62" s="76"/>
      <c r="L62" s="76"/>
      <c r="M62" s="76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76"/>
      <c r="AD62" s="76"/>
    </row>
    <row r="63" ht="45.75" customHeight="1">
      <c r="A63" s="76"/>
      <c r="B63" s="87"/>
      <c r="C63" s="87"/>
      <c r="D63" s="87"/>
      <c r="E63" s="87"/>
      <c r="F63" s="87"/>
      <c r="G63" s="87"/>
      <c r="H63" s="87"/>
      <c r="I63" s="76"/>
      <c r="J63" s="76"/>
      <c r="K63" s="76"/>
      <c r="L63" s="76"/>
      <c r="M63" s="76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76"/>
      <c r="AD63" s="76"/>
    </row>
    <row r="64" ht="45.75" customHeight="1">
      <c r="A64" s="76"/>
      <c r="B64" s="87"/>
      <c r="C64" s="87"/>
      <c r="D64" s="87"/>
      <c r="E64" s="87"/>
      <c r="F64" s="87"/>
      <c r="G64" s="87"/>
      <c r="H64" s="87"/>
      <c r="I64" s="76"/>
      <c r="J64" s="76"/>
      <c r="K64" s="76"/>
      <c r="L64" s="76"/>
      <c r="M64" s="76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76"/>
      <c r="AD64" s="76"/>
    </row>
    <row r="65" ht="45.75" customHeight="1">
      <c r="A65" s="76"/>
      <c r="B65" s="87"/>
      <c r="C65" s="87"/>
      <c r="D65" s="87"/>
      <c r="E65" s="87"/>
      <c r="F65" s="87"/>
      <c r="G65" s="87"/>
      <c r="H65" s="87"/>
      <c r="I65" s="76"/>
      <c r="J65" s="76"/>
      <c r="K65" s="76"/>
      <c r="L65" s="76"/>
      <c r="M65" s="76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76"/>
      <c r="AD65" s="76"/>
    </row>
    <row r="66" ht="45.75" customHeight="1">
      <c r="A66" s="76"/>
      <c r="B66" s="87"/>
      <c r="C66" s="87"/>
      <c r="D66" s="87"/>
      <c r="E66" s="87"/>
      <c r="F66" s="87"/>
      <c r="G66" s="87"/>
      <c r="H66" s="87"/>
      <c r="I66" s="76"/>
      <c r="J66" s="76"/>
      <c r="K66" s="76"/>
      <c r="L66" s="76"/>
      <c r="M66" s="76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76"/>
      <c r="AD66" s="76"/>
    </row>
    <row r="67" ht="45.75" customHeight="1">
      <c r="A67" s="76"/>
      <c r="B67" s="87"/>
      <c r="C67" s="87"/>
      <c r="D67" s="87"/>
      <c r="E67" s="87"/>
      <c r="F67" s="87"/>
      <c r="G67" s="87"/>
      <c r="H67" s="87"/>
      <c r="I67" s="76"/>
      <c r="J67" s="76"/>
      <c r="K67" s="76"/>
      <c r="L67" s="76"/>
      <c r="M67" s="76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76"/>
      <c r="AD67" s="76"/>
    </row>
    <row r="68" ht="45.75" customHeight="1">
      <c r="A68" s="76"/>
      <c r="B68" s="87"/>
      <c r="C68" s="87"/>
      <c r="D68" s="87"/>
      <c r="E68" s="87"/>
      <c r="F68" s="87"/>
      <c r="G68" s="87"/>
      <c r="H68" s="87"/>
      <c r="I68" s="76"/>
      <c r="J68" s="76"/>
      <c r="K68" s="76"/>
      <c r="L68" s="76"/>
      <c r="M68" s="76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76"/>
      <c r="AD68" s="76"/>
    </row>
    <row r="69" ht="45.75" customHeight="1">
      <c r="A69" s="76"/>
      <c r="B69" s="87"/>
      <c r="C69" s="87"/>
      <c r="D69" s="87"/>
      <c r="E69" s="87"/>
      <c r="F69" s="87"/>
      <c r="G69" s="87"/>
      <c r="H69" s="87"/>
      <c r="I69" s="76"/>
      <c r="J69" s="76"/>
      <c r="K69" s="76"/>
      <c r="L69" s="76"/>
      <c r="M69" s="7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76"/>
      <c r="AD69" s="76"/>
    </row>
    <row r="70" ht="45.75" customHeight="1">
      <c r="A70" s="76"/>
      <c r="B70" s="87"/>
      <c r="C70" s="87"/>
      <c r="D70" s="87"/>
      <c r="E70" s="87"/>
      <c r="F70" s="87"/>
      <c r="G70" s="87"/>
      <c r="H70" s="87"/>
      <c r="I70" s="76"/>
      <c r="J70" s="76"/>
      <c r="K70" s="76"/>
      <c r="L70" s="76"/>
      <c r="M70" s="76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76"/>
      <c r="AD70" s="76"/>
    </row>
    <row r="71" ht="45.75" customHeight="1">
      <c r="A71" s="76"/>
      <c r="B71" s="87"/>
      <c r="C71" s="87"/>
      <c r="D71" s="87"/>
      <c r="E71" s="87"/>
      <c r="F71" s="87"/>
      <c r="G71" s="87"/>
      <c r="H71" s="87"/>
      <c r="I71" s="76"/>
      <c r="J71" s="76"/>
      <c r="K71" s="76"/>
      <c r="L71" s="76"/>
      <c r="M71" s="76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76"/>
      <c r="AD71" s="76"/>
    </row>
    <row r="72" ht="45.75" customHeight="1">
      <c r="A72" s="76"/>
      <c r="B72" s="87"/>
      <c r="C72" s="87"/>
      <c r="D72" s="87"/>
      <c r="E72" s="87"/>
      <c r="F72" s="87"/>
      <c r="G72" s="87"/>
      <c r="H72" s="87"/>
      <c r="I72" s="76"/>
      <c r="J72" s="76"/>
      <c r="K72" s="76"/>
      <c r="L72" s="76"/>
      <c r="M72" s="76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76"/>
      <c r="AD72" s="76"/>
    </row>
    <row r="73" ht="45.75" customHeight="1">
      <c r="A73" s="76"/>
      <c r="B73" s="87"/>
      <c r="C73" s="87"/>
      <c r="D73" s="87"/>
      <c r="E73" s="87"/>
      <c r="F73" s="87"/>
      <c r="G73" s="87"/>
      <c r="H73" s="87"/>
      <c r="I73" s="76"/>
      <c r="J73" s="76"/>
      <c r="K73" s="76"/>
      <c r="L73" s="76"/>
      <c r="M73" s="76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76"/>
      <c r="AD73" s="76"/>
    </row>
    <row r="74" ht="45.75" customHeight="1">
      <c r="A74" s="76"/>
      <c r="B74" s="87"/>
      <c r="C74" s="87"/>
      <c r="D74" s="87"/>
      <c r="E74" s="87"/>
      <c r="F74" s="87"/>
      <c r="G74" s="87"/>
      <c r="H74" s="87"/>
      <c r="I74" s="76"/>
      <c r="J74" s="76"/>
      <c r="K74" s="76"/>
      <c r="L74" s="76"/>
      <c r="M74" s="76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76"/>
      <c r="AD74" s="76"/>
    </row>
    <row r="75" ht="45.75" customHeight="1">
      <c r="A75" s="76"/>
      <c r="B75" s="87"/>
      <c r="C75" s="87"/>
      <c r="D75" s="87"/>
      <c r="E75" s="87"/>
      <c r="F75" s="87"/>
      <c r="G75" s="87"/>
      <c r="H75" s="87"/>
      <c r="I75" s="76"/>
      <c r="J75" s="76"/>
      <c r="K75" s="76"/>
      <c r="L75" s="76"/>
      <c r="M75" s="76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76"/>
      <c r="AD75" s="76"/>
    </row>
    <row r="76" ht="45.75" customHeight="1">
      <c r="A76" s="76"/>
      <c r="B76" s="87"/>
      <c r="C76" s="87"/>
      <c r="D76" s="87"/>
      <c r="E76" s="87"/>
      <c r="F76" s="87"/>
      <c r="G76" s="87"/>
      <c r="H76" s="87"/>
      <c r="I76" s="76"/>
      <c r="J76" s="76"/>
      <c r="K76" s="76"/>
      <c r="L76" s="76"/>
      <c r="M76" s="76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76"/>
      <c r="AD76" s="76"/>
    </row>
    <row r="77" ht="45.75" customHeight="1">
      <c r="A77" s="76"/>
      <c r="B77" s="87"/>
      <c r="C77" s="87"/>
      <c r="D77" s="87"/>
      <c r="E77" s="87"/>
      <c r="F77" s="87"/>
      <c r="G77" s="87"/>
      <c r="H77" s="87"/>
      <c r="I77" s="76"/>
      <c r="J77" s="76"/>
      <c r="K77" s="76"/>
      <c r="L77" s="76"/>
      <c r="M77" s="76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76"/>
      <c r="AD77" s="76"/>
    </row>
    <row r="78" ht="45.75" customHeight="1">
      <c r="A78" s="76"/>
      <c r="B78" s="87"/>
      <c r="C78" s="87"/>
      <c r="D78" s="87"/>
      <c r="E78" s="87"/>
      <c r="F78" s="87"/>
      <c r="G78" s="87"/>
      <c r="H78" s="87"/>
      <c r="I78" s="76"/>
      <c r="J78" s="76"/>
      <c r="K78" s="76"/>
      <c r="L78" s="76"/>
      <c r="M78" s="76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76"/>
      <c r="AD78" s="76"/>
    </row>
    <row r="79" ht="45.75" customHeight="1">
      <c r="A79" s="76"/>
      <c r="B79" s="87"/>
      <c r="C79" s="87"/>
      <c r="D79" s="87"/>
      <c r="E79" s="87"/>
      <c r="F79" s="87"/>
      <c r="G79" s="87"/>
      <c r="H79" s="87"/>
      <c r="I79" s="76"/>
      <c r="J79" s="76"/>
      <c r="K79" s="76"/>
      <c r="L79" s="76"/>
      <c r="M79" s="76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76"/>
      <c r="AD79" s="76"/>
    </row>
    <row r="80" ht="45.75" customHeight="1">
      <c r="A80" s="76"/>
      <c r="B80" s="87"/>
      <c r="C80" s="87"/>
      <c r="D80" s="87"/>
      <c r="E80" s="87"/>
      <c r="F80" s="87"/>
      <c r="G80" s="87"/>
      <c r="H80" s="87"/>
      <c r="I80" s="76"/>
      <c r="J80" s="76"/>
      <c r="K80" s="76"/>
      <c r="L80" s="76"/>
      <c r="M80" s="76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76"/>
      <c r="AD80" s="76"/>
    </row>
    <row r="81" ht="45.75" customHeight="1">
      <c r="A81" s="76"/>
      <c r="B81" s="87"/>
      <c r="C81" s="87"/>
      <c r="D81" s="87"/>
      <c r="E81" s="87"/>
      <c r="F81" s="87"/>
      <c r="G81" s="87"/>
      <c r="H81" s="87"/>
      <c r="I81" s="76"/>
      <c r="J81" s="76"/>
      <c r="K81" s="76"/>
      <c r="L81" s="76"/>
      <c r="M81" s="76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76"/>
      <c r="AD81" s="76"/>
    </row>
    <row r="82" ht="45.75" customHeight="1">
      <c r="A82" s="76"/>
      <c r="B82" s="87"/>
      <c r="C82" s="87"/>
      <c r="D82" s="87"/>
      <c r="E82" s="87"/>
      <c r="F82" s="87"/>
      <c r="G82" s="87"/>
      <c r="H82" s="87"/>
      <c r="I82" s="76"/>
      <c r="J82" s="76"/>
      <c r="K82" s="76"/>
      <c r="L82" s="76"/>
      <c r="M82" s="7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76"/>
      <c r="AD82" s="76"/>
    </row>
    <row r="83" ht="45.75" customHeight="1">
      <c r="A83" s="76"/>
      <c r="B83" s="87"/>
      <c r="C83" s="87"/>
      <c r="D83" s="87"/>
      <c r="E83" s="87"/>
      <c r="F83" s="87"/>
      <c r="G83" s="87"/>
      <c r="H83" s="87"/>
      <c r="I83" s="76"/>
      <c r="J83" s="76"/>
      <c r="K83" s="76"/>
      <c r="L83" s="76"/>
      <c r="M83" s="76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76"/>
      <c r="AD83" s="76"/>
    </row>
    <row r="84" ht="45.75" customHeight="1">
      <c r="A84" s="76"/>
      <c r="B84" s="87"/>
      <c r="C84" s="87"/>
      <c r="D84" s="87"/>
      <c r="E84" s="87"/>
      <c r="F84" s="87"/>
      <c r="G84" s="87"/>
      <c r="H84" s="87"/>
      <c r="I84" s="76"/>
      <c r="J84" s="76"/>
      <c r="K84" s="76"/>
      <c r="L84" s="76"/>
      <c r="M84" s="76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76"/>
      <c r="AD84" s="76"/>
    </row>
    <row r="85" ht="45.75" customHeight="1">
      <c r="A85" s="76"/>
      <c r="B85" s="87"/>
      <c r="C85" s="87"/>
      <c r="D85" s="87"/>
      <c r="E85" s="87"/>
      <c r="F85" s="87"/>
      <c r="G85" s="87"/>
      <c r="H85" s="87"/>
      <c r="I85" s="76"/>
      <c r="J85" s="76"/>
      <c r="K85" s="76"/>
      <c r="L85" s="76"/>
      <c r="M85" s="76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76"/>
      <c r="AD85" s="76"/>
    </row>
    <row r="86" ht="45.75" customHeight="1">
      <c r="A86" s="76"/>
      <c r="B86" s="87"/>
      <c r="C86" s="87"/>
      <c r="D86" s="87"/>
      <c r="E86" s="87"/>
      <c r="F86" s="87"/>
      <c r="G86" s="87"/>
      <c r="H86" s="87"/>
      <c r="I86" s="76"/>
      <c r="J86" s="76"/>
      <c r="K86" s="76"/>
      <c r="L86" s="76"/>
      <c r="M86" s="76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76"/>
      <c r="AD86" s="76"/>
    </row>
    <row r="87" ht="45.75" customHeight="1">
      <c r="A87" s="76"/>
      <c r="B87" s="87"/>
      <c r="C87" s="87"/>
      <c r="D87" s="87"/>
      <c r="E87" s="87"/>
      <c r="F87" s="87"/>
      <c r="G87" s="87"/>
      <c r="H87" s="87"/>
      <c r="I87" s="76"/>
      <c r="J87" s="76"/>
      <c r="K87" s="76"/>
      <c r="L87" s="76"/>
      <c r="M87" s="76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76"/>
      <c r="AD87" s="76"/>
    </row>
    <row r="88" ht="45.75" customHeight="1">
      <c r="A88" s="76"/>
      <c r="B88" s="87"/>
      <c r="C88" s="87"/>
      <c r="D88" s="87"/>
      <c r="E88" s="87"/>
      <c r="F88" s="87"/>
      <c r="G88" s="87"/>
      <c r="H88" s="87"/>
      <c r="I88" s="76"/>
      <c r="J88" s="76"/>
      <c r="K88" s="76"/>
      <c r="L88" s="76"/>
      <c r="M88" s="76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76"/>
      <c r="AD88" s="76"/>
    </row>
    <row r="89" ht="45.75" customHeight="1">
      <c r="A89" s="76"/>
      <c r="B89" s="87"/>
      <c r="C89" s="87"/>
      <c r="D89" s="87"/>
      <c r="E89" s="87"/>
      <c r="F89" s="87"/>
      <c r="G89" s="87"/>
      <c r="H89" s="87"/>
      <c r="I89" s="76"/>
      <c r="J89" s="76"/>
      <c r="K89" s="76"/>
      <c r="L89" s="76"/>
      <c r="M89" s="76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76"/>
      <c r="AD89" s="76"/>
    </row>
    <row r="90" ht="45.75" customHeight="1">
      <c r="A90" s="76"/>
      <c r="B90" s="87"/>
      <c r="C90" s="87"/>
      <c r="D90" s="87"/>
      <c r="E90" s="87"/>
      <c r="F90" s="87"/>
      <c r="G90" s="87"/>
      <c r="H90" s="87"/>
      <c r="I90" s="76"/>
      <c r="J90" s="76"/>
      <c r="K90" s="76"/>
      <c r="L90" s="76"/>
      <c r="M90" s="76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76"/>
      <c r="AD90" s="76"/>
    </row>
    <row r="91" ht="45.75" customHeight="1">
      <c r="A91" s="76"/>
      <c r="B91" s="87"/>
      <c r="C91" s="87"/>
      <c r="D91" s="87"/>
      <c r="E91" s="87"/>
      <c r="F91" s="87"/>
      <c r="G91" s="87"/>
      <c r="H91" s="87"/>
      <c r="I91" s="76"/>
      <c r="J91" s="76"/>
      <c r="K91" s="76"/>
      <c r="L91" s="76"/>
      <c r="M91" s="76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76"/>
      <c r="AD91" s="76"/>
    </row>
    <row r="92" ht="45.75" customHeight="1">
      <c r="A92" s="76"/>
      <c r="B92" s="87"/>
      <c r="C92" s="87"/>
      <c r="D92" s="87"/>
      <c r="E92" s="87"/>
      <c r="F92" s="87"/>
      <c r="G92" s="87"/>
      <c r="H92" s="87"/>
      <c r="I92" s="76"/>
      <c r="J92" s="76"/>
      <c r="K92" s="76"/>
      <c r="L92" s="76"/>
      <c r="M92" s="76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76"/>
      <c r="AD92" s="76"/>
    </row>
    <row r="93" ht="45.75" customHeight="1">
      <c r="A93" s="76"/>
      <c r="B93" s="87"/>
      <c r="C93" s="87"/>
      <c r="D93" s="87"/>
      <c r="E93" s="87"/>
      <c r="F93" s="87"/>
      <c r="G93" s="87"/>
      <c r="H93" s="87"/>
      <c r="I93" s="76"/>
      <c r="J93" s="76"/>
      <c r="K93" s="76"/>
      <c r="L93" s="76"/>
      <c r="M93" s="76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76"/>
      <c r="AD93" s="76"/>
    </row>
    <row r="94" ht="45.75" customHeight="1">
      <c r="A94" s="76"/>
      <c r="B94" s="87"/>
      <c r="C94" s="87"/>
      <c r="D94" s="87"/>
      <c r="E94" s="87"/>
      <c r="F94" s="87"/>
      <c r="G94" s="87"/>
      <c r="H94" s="87"/>
      <c r="I94" s="76"/>
      <c r="J94" s="76"/>
      <c r="K94" s="76"/>
      <c r="L94" s="76"/>
      <c r="M94" s="76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76"/>
      <c r="AD94" s="76"/>
    </row>
    <row r="95" ht="45.75" customHeight="1">
      <c r="A95" s="76"/>
      <c r="B95" s="87"/>
      <c r="C95" s="87"/>
      <c r="D95" s="87"/>
      <c r="E95" s="87"/>
      <c r="F95" s="87"/>
      <c r="G95" s="87"/>
      <c r="H95" s="87"/>
      <c r="I95" s="76"/>
      <c r="J95" s="76"/>
      <c r="K95" s="76"/>
      <c r="L95" s="76"/>
      <c r="M95" s="7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76"/>
      <c r="AD95" s="76"/>
    </row>
    <row r="96" ht="45.75" customHeight="1">
      <c r="A96" s="76"/>
      <c r="B96" s="87"/>
      <c r="C96" s="87"/>
      <c r="D96" s="87"/>
      <c r="E96" s="87"/>
      <c r="F96" s="87"/>
      <c r="G96" s="87"/>
      <c r="H96" s="87"/>
      <c r="I96" s="76"/>
      <c r="J96" s="76"/>
      <c r="K96" s="76"/>
      <c r="L96" s="76"/>
      <c r="M96" s="76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76"/>
      <c r="AD96" s="76"/>
    </row>
    <row r="97" ht="45.75" customHeight="1">
      <c r="A97" s="76"/>
      <c r="B97" s="87"/>
      <c r="C97" s="87"/>
      <c r="D97" s="87"/>
      <c r="E97" s="87"/>
      <c r="F97" s="87"/>
      <c r="G97" s="87"/>
      <c r="H97" s="87"/>
      <c r="I97" s="76"/>
      <c r="J97" s="76"/>
      <c r="K97" s="76"/>
      <c r="L97" s="76"/>
      <c r="M97" s="76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76"/>
      <c r="AD97" s="76"/>
    </row>
    <row r="98" ht="45.75" customHeight="1">
      <c r="A98" s="76"/>
      <c r="B98" s="87"/>
      <c r="C98" s="87"/>
      <c r="D98" s="87"/>
      <c r="E98" s="87"/>
      <c r="F98" s="87"/>
      <c r="G98" s="87"/>
      <c r="H98" s="87"/>
      <c r="I98" s="76"/>
      <c r="J98" s="76"/>
      <c r="K98" s="76"/>
      <c r="L98" s="76"/>
      <c r="M98" s="76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76"/>
      <c r="AD98" s="76"/>
    </row>
    <row r="99" ht="45.75" customHeight="1">
      <c r="A99" s="76"/>
      <c r="B99" s="87"/>
      <c r="C99" s="87"/>
      <c r="D99" s="87"/>
      <c r="E99" s="87"/>
      <c r="F99" s="87"/>
      <c r="G99" s="87"/>
      <c r="H99" s="87"/>
      <c r="I99" s="76"/>
      <c r="J99" s="76"/>
      <c r="K99" s="76"/>
      <c r="L99" s="76"/>
      <c r="M99" s="76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76"/>
      <c r="AD99" s="76"/>
    </row>
    <row r="100" ht="45.75" customHeight="1">
      <c r="A100" s="76"/>
      <c r="B100" s="87"/>
      <c r="C100" s="87"/>
      <c r="D100" s="87"/>
      <c r="E100" s="87"/>
      <c r="F100" s="87"/>
      <c r="G100" s="87"/>
      <c r="H100" s="87"/>
      <c r="I100" s="76"/>
      <c r="J100" s="76"/>
      <c r="K100" s="76"/>
      <c r="L100" s="76"/>
      <c r="M100" s="76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76"/>
      <c r="AD100" s="76"/>
    </row>
    <row r="101" ht="45.75" customHeight="1">
      <c r="A101" s="76"/>
      <c r="B101" s="87"/>
      <c r="C101" s="87"/>
      <c r="D101" s="87"/>
      <c r="E101" s="87"/>
      <c r="F101" s="87"/>
      <c r="G101" s="87"/>
      <c r="H101" s="87"/>
      <c r="I101" s="76"/>
      <c r="J101" s="76"/>
      <c r="K101" s="76"/>
      <c r="L101" s="76"/>
      <c r="M101" s="76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76"/>
      <c r="AD101" s="76"/>
    </row>
    <row r="102" ht="45.75" customHeight="1">
      <c r="A102" s="76"/>
      <c r="B102" s="87"/>
      <c r="C102" s="87"/>
      <c r="D102" s="87"/>
      <c r="E102" s="87"/>
      <c r="F102" s="87"/>
      <c r="G102" s="87"/>
      <c r="H102" s="87"/>
      <c r="I102" s="76"/>
      <c r="J102" s="76"/>
      <c r="K102" s="76"/>
      <c r="L102" s="76"/>
      <c r="M102" s="76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76"/>
      <c r="AD102" s="76"/>
    </row>
    <row r="103" ht="45.75" customHeight="1">
      <c r="A103" s="76"/>
      <c r="B103" s="87"/>
      <c r="C103" s="87"/>
      <c r="D103" s="87"/>
      <c r="E103" s="87"/>
      <c r="F103" s="87"/>
      <c r="G103" s="87"/>
      <c r="H103" s="87"/>
      <c r="I103" s="76"/>
      <c r="J103" s="76"/>
      <c r="K103" s="76"/>
      <c r="L103" s="76"/>
      <c r="M103" s="76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76"/>
      <c r="AD103" s="76"/>
    </row>
    <row r="104" ht="45.75" customHeight="1">
      <c r="A104" s="76"/>
      <c r="B104" s="87"/>
      <c r="C104" s="87"/>
      <c r="D104" s="87"/>
      <c r="E104" s="87"/>
      <c r="F104" s="87"/>
      <c r="G104" s="87"/>
      <c r="H104" s="87"/>
      <c r="I104" s="76"/>
      <c r="J104" s="76"/>
      <c r="K104" s="76"/>
      <c r="L104" s="76"/>
      <c r="M104" s="76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76"/>
      <c r="AD104" s="76"/>
    </row>
    <row r="105" ht="45.75" customHeight="1">
      <c r="A105" s="76"/>
      <c r="B105" s="87"/>
      <c r="C105" s="87"/>
      <c r="D105" s="87"/>
      <c r="E105" s="87"/>
      <c r="F105" s="87"/>
      <c r="G105" s="87"/>
      <c r="H105" s="87"/>
      <c r="I105" s="76"/>
      <c r="J105" s="76"/>
      <c r="K105" s="76"/>
      <c r="L105" s="76"/>
      <c r="M105" s="76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76"/>
      <c r="AD105" s="76"/>
    </row>
    <row r="106" ht="45.75" customHeight="1">
      <c r="A106" s="76"/>
      <c r="B106" s="87"/>
      <c r="C106" s="87"/>
      <c r="D106" s="87"/>
      <c r="E106" s="87"/>
      <c r="F106" s="87"/>
      <c r="G106" s="87"/>
      <c r="H106" s="87"/>
      <c r="I106" s="76"/>
      <c r="J106" s="76"/>
      <c r="K106" s="76"/>
      <c r="L106" s="76"/>
      <c r="M106" s="76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76"/>
      <c r="AD106" s="76"/>
    </row>
    <row r="107" ht="45.75" customHeight="1">
      <c r="A107" s="76"/>
      <c r="B107" s="87"/>
      <c r="C107" s="87"/>
      <c r="D107" s="87"/>
      <c r="E107" s="87"/>
      <c r="F107" s="87"/>
      <c r="G107" s="87"/>
      <c r="H107" s="87"/>
      <c r="I107" s="76"/>
      <c r="J107" s="76"/>
      <c r="K107" s="76"/>
      <c r="L107" s="76"/>
      <c r="M107" s="76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76"/>
      <c r="AD107" s="76"/>
    </row>
    <row r="108" ht="45.75" customHeight="1">
      <c r="A108" s="76"/>
      <c r="B108" s="87"/>
      <c r="C108" s="87"/>
      <c r="D108" s="87"/>
      <c r="E108" s="87"/>
      <c r="F108" s="87"/>
      <c r="G108" s="87"/>
      <c r="H108" s="87"/>
      <c r="I108" s="76"/>
      <c r="J108" s="76"/>
      <c r="K108" s="76"/>
      <c r="L108" s="76"/>
      <c r="M108" s="7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76"/>
      <c r="AD108" s="76"/>
    </row>
    <row r="109" ht="45.75" customHeight="1">
      <c r="A109" s="76"/>
      <c r="B109" s="87"/>
      <c r="C109" s="87"/>
      <c r="D109" s="87"/>
      <c r="E109" s="87"/>
      <c r="F109" s="87"/>
      <c r="G109" s="87"/>
      <c r="H109" s="87"/>
      <c r="I109" s="76"/>
      <c r="J109" s="76"/>
      <c r="K109" s="76"/>
      <c r="L109" s="76"/>
      <c r="M109" s="76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76"/>
      <c r="AD109" s="76"/>
    </row>
    <row r="110" ht="45.75" customHeight="1">
      <c r="A110" s="76"/>
      <c r="B110" s="87"/>
      <c r="C110" s="87"/>
      <c r="D110" s="87"/>
      <c r="E110" s="87"/>
      <c r="F110" s="87"/>
      <c r="G110" s="87"/>
      <c r="H110" s="87"/>
      <c r="I110" s="76"/>
      <c r="J110" s="76"/>
      <c r="K110" s="76"/>
      <c r="L110" s="76"/>
      <c r="M110" s="76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76"/>
      <c r="AD110" s="76"/>
    </row>
    <row r="111" ht="45.75" customHeight="1">
      <c r="A111" s="76"/>
      <c r="B111" s="87"/>
      <c r="C111" s="87"/>
      <c r="D111" s="87"/>
      <c r="E111" s="87"/>
      <c r="F111" s="87"/>
      <c r="G111" s="87"/>
      <c r="H111" s="87"/>
      <c r="I111" s="76"/>
      <c r="J111" s="76"/>
      <c r="K111" s="76"/>
      <c r="L111" s="76"/>
      <c r="M111" s="76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76"/>
      <c r="AD111" s="76"/>
    </row>
    <row r="112" ht="45.75" customHeight="1">
      <c r="A112" s="76"/>
      <c r="B112" s="87"/>
      <c r="C112" s="87"/>
      <c r="D112" s="87"/>
      <c r="E112" s="87"/>
      <c r="F112" s="87"/>
      <c r="G112" s="87"/>
      <c r="H112" s="87"/>
      <c r="I112" s="76"/>
      <c r="J112" s="76"/>
      <c r="K112" s="76"/>
      <c r="L112" s="76"/>
      <c r="M112" s="76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76"/>
      <c r="AD112" s="76"/>
    </row>
    <row r="113" ht="45.75" customHeight="1">
      <c r="A113" s="76"/>
      <c r="B113" s="87"/>
      <c r="C113" s="87"/>
      <c r="D113" s="87"/>
      <c r="E113" s="87"/>
      <c r="F113" s="87"/>
      <c r="G113" s="87"/>
      <c r="H113" s="87"/>
      <c r="I113" s="76"/>
      <c r="J113" s="76"/>
      <c r="K113" s="76"/>
      <c r="L113" s="76"/>
      <c r="M113" s="76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76"/>
      <c r="AD113" s="76"/>
    </row>
    <row r="114" ht="45.75" customHeight="1">
      <c r="A114" s="76"/>
      <c r="B114" s="87"/>
      <c r="C114" s="87"/>
      <c r="D114" s="87"/>
      <c r="E114" s="87"/>
      <c r="F114" s="87"/>
      <c r="G114" s="87"/>
      <c r="H114" s="87"/>
      <c r="I114" s="76"/>
      <c r="J114" s="76"/>
      <c r="K114" s="76"/>
      <c r="L114" s="76"/>
      <c r="M114" s="76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76"/>
      <c r="AD114" s="76"/>
    </row>
    <row r="115" ht="45.75" customHeight="1">
      <c r="A115" s="76"/>
      <c r="B115" s="87"/>
      <c r="C115" s="87"/>
      <c r="D115" s="87"/>
      <c r="E115" s="87"/>
      <c r="F115" s="87"/>
      <c r="G115" s="87"/>
      <c r="H115" s="87"/>
      <c r="I115" s="76"/>
      <c r="J115" s="76"/>
      <c r="K115" s="76"/>
      <c r="L115" s="76"/>
      <c r="M115" s="76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76"/>
      <c r="AD115" s="76"/>
    </row>
    <row r="116" ht="45.75" customHeight="1">
      <c r="A116" s="76"/>
      <c r="B116" s="87"/>
      <c r="C116" s="87"/>
      <c r="D116" s="87"/>
      <c r="E116" s="87"/>
      <c r="F116" s="87"/>
      <c r="G116" s="87"/>
      <c r="H116" s="87"/>
      <c r="I116" s="76"/>
      <c r="J116" s="76"/>
      <c r="K116" s="76"/>
      <c r="L116" s="76"/>
      <c r="M116" s="76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76"/>
      <c r="AD116" s="76"/>
    </row>
    <row r="117" ht="45.75" customHeight="1">
      <c r="A117" s="76"/>
      <c r="B117" s="87"/>
      <c r="C117" s="87"/>
      <c r="D117" s="87"/>
      <c r="E117" s="87"/>
      <c r="F117" s="87"/>
      <c r="G117" s="87"/>
      <c r="H117" s="87"/>
      <c r="I117" s="76"/>
      <c r="J117" s="76"/>
      <c r="K117" s="76"/>
      <c r="L117" s="76"/>
      <c r="M117" s="76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76"/>
      <c r="AD117" s="76"/>
    </row>
    <row r="118" ht="45.75" customHeight="1">
      <c r="A118" s="76"/>
      <c r="B118" s="87"/>
      <c r="C118" s="87"/>
      <c r="D118" s="87"/>
      <c r="E118" s="87"/>
      <c r="F118" s="87"/>
      <c r="G118" s="87"/>
      <c r="H118" s="87"/>
      <c r="I118" s="76"/>
      <c r="J118" s="76"/>
      <c r="K118" s="76"/>
      <c r="L118" s="76"/>
      <c r="M118" s="76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76"/>
      <c r="AD118" s="76"/>
    </row>
    <row r="119" ht="45.75" customHeight="1">
      <c r="A119" s="76"/>
      <c r="B119" s="87"/>
      <c r="C119" s="87"/>
      <c r="D119" s="87"/>
      <c r="E119" s="87"/>
      <c r="F119" s="87"/>
      <c r="G119" s="87"/>
      <c r="H119" s="87"/>
      <c r="I119" s="76"/>
      <c r="J119" s="76"/>
      <c r="K119" s="76"/>
      <c r="L119" s="76"/>
      <c r="M119" s="76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76"/>
      <c r="AD119" s="76"/>
    </row>
    <row r="120" ht="45.75" customHeight="1">
      <c r="A120" s="76"/>
      <c r="B120" s="87"/>
      <c r="C120" s="87"/>
      <c r="D120" s="87"/>
      <c r="E120" s="87"/>
      <c r="F120" s="87"/>
      <c r="G120" s="87"/>
      <c r="H120" s="87"/>
      <c r="I120" s="76"/>
      <c r="J120" s="76"/>
      <c r="K120" s="76"/>
      <c r="L120" s="76"/>
      <c r="M120" s="76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76"/>
      <c r="AD120" s="76"/>
    </row>
    <row r="121" ht="45.75" customHeight="1">
      <c r="A121" s="76"/>
      <c r="B121" s="87"/>
      <c r="C121" s="87"/>
      <c r="D121" s="87"/>
      <c r="E121" s="87"/>
      <c r="F121" s="87"/>
      <c r="G121" s="87"/>
      <c r="H121" s="87"/>
      <c r="I121" s="76"/>
      <c r="J121" s="76"/>
      <c r="K121" s="76"/>
      <c r="L121" s="76"/>
      <c r="M121" s="7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76"/>
      <c r="AD121" s="76"/>
    </row>
    <row r="122" ht="45.75" customHeight="1">
      <c r="A122" s="76"/>
      <c r="B122" s="87"/>
      <c r="C122" s="87"/>
      <c r="D122" s="87"/>
      <c r="E122" s="87"/>
      <c r="F122" s="87"/>
      <c r="G122" s="87"/>
      <c r="H122" s="87"/>
      <c r="I122" s="76"/>
      <c r="J122" s="76"/>
      <c r="K122" s="76"/>
      <c r="L122" s="76"/>
      <c r="M122" s="76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76"/>
      <c r="AD122" s="76"/>
    </row>
    <row r="123" ht="45.75" customHeight="1">
      <c r="A123" s="76"/>
      <c r="B123" s="87"/>
      <c r="C123" s="87"/>
      <c r="D123" s="87"/>
      <c r="E123" s="87"/>
      <c r="F123" s="87"/>
      <c r="G123" s="87"/>
      <c r="H123" s="87"/>
      <c r="I123" s="76"/>
      <c r="J123" s="76"/>
      <c r="K123" s="76"/>
      <c r="L123" s="76"/>
      <c r="M123" s="76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76"/>
      <c r="AD123" s="76"/>
    </row>
    <row r="124" ht="45.75" customHeight="1">
      <c r="A124" s="76"/>
      <c r="B124" s="87"/>
      <c r="C124" s="87"/>
      <c r="D124" s="87"/>
      <c r="E124" s="87"/>
      <c r="F124" s="87"/>
      <c r="G124" s="87"/>
      <c r="H124" s="87"/>
      <c r="I124" s="76"/>
      <c r="J124" s="76"/>
      <c r="K124" s="76"/>
      <c r="L124" s="76"/>
      <c r="M124" s="76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76"/>
      <c r="AD124" s="76"/>
    </row>
    <row r="125" ht="45.75" customHeight="1">
      <c r="A125" s="76"/>
      <c r="B125" s="87"/>
      <c r="C125" s="87"/>
      <c r="D125" s="87"/>
      <c r="E125" s="87"/>
      <c r="F125" s="87"/>
      <c r="G125" s="87"/>
      <c r="H125" s="87"/>
      <c r="I125" s="76"/>
      <c r="J125" s="76"/>
      <c r="K125" s="76"/>
      <c r="L125" s="76"/>
      <c r="M125" s="76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76"/>
      <c r="AD125" s="76"/>
    </row>
    <row r="126" ht="45.75" customHeight="1">
      <c r="A126" s="76"/>
      <c r="B126" s="87"/>
      <c r="C126" s="87"/>
      <c r="D126" s="87"/>
      <c r="E126" s="87"/>
      <c r="F126" s="87"/>
      <c r="G126" s="87"/>
      <c r="H126" s="87"/>
      <c r="I126" s="76"/>
      <c r="J126" s="76"/>
      <c r="K126" s="76"/>
      <c r="L126" s="76"/>
      <c r="M126" s="76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76"/>
      <c r="AD126" s="76"/>
    </row>
    <row r="127" ht="45.75" customHeight="1">
      <c r="A127" s="76"/>
      <c r="B127" s="87"/>
      <c r="C127" s="87"/>
      <c r="D127" s="87"/>
      <c r="E127" s="87"/>
      <c r="F127" s="87"/>
      <c r="G127" s="87"/>
      <c r="H127" s="87"/>
      <c r="I127" s="76"/>
      <c r="J127" s="76"/>
      <c r="K127" s="76"/>
      <c r="L127" s="76"/>
      <c r="M127" s="76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76"/>
      <c r="AD127" s="76"/>
    </row>
    <row r="128" ht="45.75" customHeight="1">
      <c r="A128" s="76"/>
      <c r="B128" s="87"/>
      <c r="C128" s="87"/>
      <c r="D128" s="87"/>
      <c r="E128" s="87"/>
      <c r="F128" s="87"/>
      <c r="G128" s="87"/>
      <c r="H128" s="87"/>
      <c r="I128" s="76"/>
      <c r="J128" s="76"/>
      <c r="K128" s="76"/>
      <c r="L128" s="76"/>
      <c r="M128" s="76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76"/>
      <c r="AD128" s="76"/>
    </row>
    <row r="129" ht="45.75" customHeight="1">
      <c r="A129" s="76"/>
      <c r="B129" s="87"/>
      <c r="C129" s="87"/>
      <c r="D129" s="87"/>
      <c r="E129" s="87"/>
      <c r="F129" s="87"/>
      <c r="G129" s="87"/>
      <c r="H129" s="87"/>
      <c r="I129" s="76"/>
      <c r="J129" s="76"/>
      <c r="K129" s="76"/>
      <c r="L129" s="76"/>
      <c r="M129" s="76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76"/>
      <c r="AD129" s="76"/>
    </row>
    <row r="130" ht="45.75" customHeight="1">
      <c r="A130" s="76"/>
      <c r="B130" s="87"/>
      <c r="C130" s="87"/>
      <c r="D130" s="87"/>
      <c r="E130" s="87"/>
      <c r="F130" s="87"/>
      <c r="G130" s="87"/>
      <c r="H130" s="87"/>
      <c r="I130" s="76"/>
      <c r="J130" s="76"/>
      <c r="K130" s="76"/>
      <c r="L130" s="76"/>
      <c r="M130" s="76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76"/>
      <c r="AD130" s="76"/>
    </row>
    <row r="131" ht="45.75" customHeight="1">
      <c r="A131" s="76"/>
      <c r="B131" s="87"/>
      <c r="C131" s="87"/>
      <c r="D131" s="87"/>
      <c r="E131" s="87"/>
      <c r="F131" s="87"/>
      <c r="G131" s="87"/>
      <c r="H131" s="87"/>
      <c r="I131" s="76"/>
      <c r="J131" s="76"/>
      <c r="K131" s="76"/>
      <c r="L131" s="76"/>
      <c r="M131" s="76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76"/>
      <c r="AD131" s="76"/>
    </row>
    <row r="132" ht="45.75" customHeight="1">
      <c r="A132" s="76"/>
      <c r="B132" s="87"/>
      <c r="C132" s="87"/>
      <c r="D132" s="87"/>
      <c r="E132" s="87"/>
      <c r="F132" s="87"/>
      <c r="G132" s="87"/>
      <c r="H132" s="87"/>
      <c r="I132" s="76"/>
      <c r="J132" s="76"/>
      <c r="K132" s="76"/>
      <c r="L132" s="76"/>
      <c r="M132" s="76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76"/>
      <c r="AD132" s="76"/>
    </row>
    <row r="133" ht="45.75" customHeight="1">
      <c r="A133" s="76"/>
      <c r="B133" s="87"/>
      <c r="C133" s="87"/>
      <c r="D133" s="87"/>
      <c r="E133" s="87"/>
      <c r="F133" s="87"/>
      <c r="G133" s="87"/>
      <c r="H133" s="87"/>
      <c r="I133" s="76"/>
      <c r="J133" s="76"/>
      <c r="K133" s="76"/>
      <c r="L133" s="76"/>
      <c r="M133" s="76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76"/>
      <c r="AD133" s="76"/>
    </row>
    <row r="134" ht="45.75" customHeight="1">
      <c r="A134" s="76"/>
      <c r="B134" s="87"/>
      <c r="C134" s="87"/>
      <c r="D134" s="87"/>
      <c r="E134" s="87"/>
      <c r="F134" s="87"/>
      <c r="G134" s="87"/>
      <c r="H134" s="87"/>
      <c r="I134" s="76"/>
      <c r="J134" s="76"/>
      <c r="K134" s="76"/>
      <c r="L134" s="76"/>
      <c r="M134" s="7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76"/>
      <c r="AD134" s="76"/>
    </row>
    <row r="135" ht="45.75" customHeight="1">
      <c r="A135" s="76"/>
      <c r="B135" s="87"/>
      <c r="C135" s="87"/>
      <c r="D135" s="87"/>
      <c r="E135" s="87"/>
      <c r="F135" s="87"/>
      <c r="G135" s="87"/>
      <c r="H135" s="87"/>
      <c r="I135" s="76"/>
      <c r="J135" s="76"/>
      <c r="K135" s="76"/>
      <c r="L135" s="76"/>
      <c r="M135" s="76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76"/>
      <c r="AD135" s="76"/>
    </row>
    <row r="136" ht="45.75" customHeight="1">
      <c r="A136" s="76"/>
      <c r="B136" s="87"/>
      <c r="C136" s="87"/>
      <c r="D136" s="87"/>
      <c r="E136" s="87"/>
      <c r="F136" s="87"/>
      <c r="G136" s="87"/>
      <c r="H136" s="87"/>
      <c r="I136" s="76"/>
      <c r="J136" s="76"/>
      <c r="K136" s="76"/>
      <c r="L136" s="76"/>
      <c r="M136" s="76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76"/>
      <c r="AD136" s="76"/>
    </row>
    <row r="137" ht="45.75" customHeight="1">
      <c r="A137" s="76"/>
      <c r="B137" s="87"/>
      <c r="C137" s="87"/>
      <c r="D137" s="87"/>
      <c r="E137" s="87"/>
      <c r="F137" s="87"/>
      <c r="G137" s="87"/>
      <c r="H137" s="87"/>
      <c r="I137" s="76"/>
      <c r="J137" s="76"/>
      <c r="K137" s="76"/>
      <c r="L137" s="76"/>
      <c r="M137" s="76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76"/>
      <c r="AD137" s="76"/>
    </row>
    <row r="138" ht="45.75" customHeight="1">
      <c r="A138" s="76"/>
      <c r="B138" s="87"/>
      <c r="C138" s="87"/>
      <c r="D138" s="87"/>
      <c r="E138" s="87"/>
      <c r="F138" s="87"/>
      <c r="G138" s="87"/>
      <c r="H138" s="87"/>
      <c r="I138" s="76"/>
      <c r="J138" s="76"/>
      <c r="K138" s="76"/>
      <c r="L138" s="76"/>
      <c r="M138" s="76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76"/>
      <c r="AD138" s="76"/>
    </row>
    <row r="139" ht="45.75" customHeight="1">
      <c r="A139" s="76"/>
      <c r="B139" s="87"/>
      <c r="C139" s="87"/>
      <c r="D139" s="87"/>
      <c r="E139" s="87"/>
      <c r="F139" s="87"/>
      <c r="G139" s="87"/>
      <c r="H139" s="87"/>
      <c r="I139" s="76"/>
      <c r="J139" s="76"/>
      <c r="K139" s="76"/>
      <c r="L139" s="76"/>
      <c r="M139" s="76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76"/>
      <c r="AD139" s="76"/>
    </row>
    <row r="140" ht="45.75" customHeight="1">
      <c r="A140" s="76"/>
      <c r="B140" s="87"/>
      <c r="C140" s="87"/>
      <c r="D140" s="87"/>
      <c r="E140" s="87"/>
      <c r="F140" s="87"/>
      <c r="G140" s="87"/>
      <c r="H140" s="87"/>
      <c r="I140" s="76"/>
      <c r="J140" s="76"/>
      <c r="K140" s="76"/>
      <c r="L140" s="76"/>
      <c r="M140" s="76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76"/>
      <c r="AD140" s="76"/>
    </row>
    <row r="141" ht="45.75" customHeight="1">
      <c r="A141" s="76"/>
      <c r="B141" s="87"/>
      <c r="C141" s="87"/>
      <c r="D141" s="87"/>
      <c r="E141" s="87"/>
      <c r="F141" s="87"/>
      <c r="G141" s="87"/>
      <c r="H141" s="87"/>
      <c r="I141" s="76"/>
      <c r="J141" s="76"/>
      <c r="K141" s="76"/>
      <c r="L141" s="76"/>
      <c r="M141" s="76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76"/>
      <c r="AD141" s="76"/>
    </row>
    <row r="142" ht="45.75" customHeight="1">
      <c r="A142" s="76"/>
      <c r="B142" s="87"/>
      <c r="C142" s="87"/>
      <c r="D142" s="87"/>
      <c r="E142" s="87"/>
      <c r="F142" s="87"/>
      <c r="G142" s="87"/>
      <c r="H142" s="87"/>
      <c r="I142" s="76"/>
      <c r="J142" s="76"/>
      <c r="K142" s="76"/>
      <c r="L142" s="76"/>
      <c r="M142" s="76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76"/>
      <c r="AD142" s="76"/>
    </row>
    <row r="143" ht="45.75" customHeight="1">
      <c r="A143" s="76"/>
      <c r="B143" s="87"/>
      <c r="C143" s="87"/>
      <c r="D143" s="87"/>
      <c r="E143" s="87"/>
      <c r="F143" s="87"/>
      <c r="G143" s="87"/>
      <c r="H143" s="87"/>
      <c r="I143" s="76"/>
      <c r="J143" s="76"/>
      <c r="K143" s="76"/>
      <c r="L143" s="76"/>
      <c r="M143" s="76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76"/>
      <c r="AD143" s="76"/>
    </row>
    <row r="144" ht="45.75" customHeight="1">
      <c r="A144" s="76"/>
      <c r="B144" s="87"/>
      <c r="C144" s="87"/>
      <c r="D144" s="87"/>
      <c r="E144" s="87"/>
      <c r="F144" s="87"/>
      <c r="G144" s="87"/>
      <c r="H144" s="87"/>
      <c r="I144" s="76"/>
      <c r="J144" s="76"/>
      <c r="K144" s="76"/>
      <c r="L144" s="76"/>
      <c r="M144" s="76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76"/>
      <c r="AD144" s="76"/>
    </row>
    <row r="145" ht="45.75" customHeight="1">
      <c r="A145" s="76"/>
      <c r="B145" s="87"/>
      <c r="C145" s="87"/>
      <c r="D145" s="87"/>
      <c r="E145" s="87"/>
      <c r="F145" s="87"/>
      <c r="G145" s="87"/>
      <c r="H145" s="87"/>
      <c r="I145" s="76"/>
      <c r="J145" s="76"/>
      <c r="K145" s="76"/>
      <c r="L145" s="76"/>
      <c r="M145" s="76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76"/>
      <c r="AD145" s="76"/>
    </row>
    <row r="146" ht="45.75" customHeight="1">
      <c r="A146" s="76"/>
      <c r="B146" s="87"/>
      <c r="C146" s="87"/>
      <c r="D146" s="87"/>
      <c r="E146" s="87"/>
      <c r="F146" s="87"/>
      <c r="G146" s="87"/>
      <c r="H146" s="87"/>
      <c r="I146" s="76"/>
      <c r="J146" s="76"/>
      <c r="K146" s="76"/>
      <c r="L146" s="76"/>
      <c r="M146" s="76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76"/>
      <c r="AD146" s="76"/>
    </row>
    <row r="147" ht="45.75" customHeight="1">
      <c r="A147" s="76"/>
      <c r="B147" s="87"/>
      <c r="C147" s="87"/>
      <c r="D147" s="87"/>
      <c r="E147" s="87"/>
      <c r="F147" s="87"/>
      <c r="G147" s="87"/>
      <c r="H147" s="87"/>
      <c r="I147" s="76"/>
      <c r="J147" s="76"/>
      <c r="K147" s="76"/>
      <c r="L147" s="76"/>
      <c r="M147" s="76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76"/>
      <c r="AD147" s="76"/>
    </row>
    <row r="148" ht="45.75" customHeight="1">
      <c r="A148" s="76"/>
      <c r="B148" s="87"/>
      <c r="C148" s="87"/>
      <c r="D148" s="87"/>
      <c r="E148" s="87"/>
      <c r="F148" s="87"/>
      <c r="G148" s="87"/>
      <c r="H148" s="87"/>
      <c r="I148" s="76"/>
      <c r="J148" s="76"/>
      <c r="K148" s="76"/>
      <c r="L148" s="76"/>
      <c r="M148" s="76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76"/>
      <c r="AD148" s="76"/>
    </row>
    <row r="149" ht="45.75" customHeight="1">
      <c r="A149" s="76"/>
      <c r="B149" s="87"/>
      <c r="C149" s="87"/>
      <c r="D149" s="87"/>
      <c r="E149" s="87"/>
      <c r="F149" s="87"/>
      <c r="G149" s="87"/>
      <c r="H149" s="87"/>
      <c r="I149" s="76"/>
      <c r="J149" s="76"/>
      <c r="K149" s="76"/>
      <c r="L149" s="76"/>
      <c r="M149" s="76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76"/>
      <c r="AD149" s="76"/>
    </row>
    <row r="150" ht="45.75" customHeight="1">
      <c r="A150" s="76"/>
      <c r="B150" s="87"/>
      <c r="C150" s="87"/>
      <c r="D150" s="87"/>
      <c r="E150" s="87"/>
      <c r="F150" s="87"/>
      <c r="G150" s="87"/>
      <c r="H150" s="87"/>
      <c r="I150" s="76"/>
      <c r="J150" s="76"/>
      <c r="K150" s="76"/>
      <c r="L150" s="76"/>
      <c r="M150" s="76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76"/>
      <c r="AD150" s="76"/>
    </row>
    <row r="151" ht="45.75" customHeight="1">
      <c r="A151" s="76"/>
      <c r="B151" s="87"/>
      <c r="C151" s="87"/>
      <c r="D151" s="87"/>
      <c r="E151" s="87"/>
      <c r="F151" s="87"/>
      <c r="G151" s="87"/>
      <c r="H151" s="87"/>
      <c r="I151" s="76"/>
      <c r="J151" s="76"/>
      <c r="K151" s="76"/>
      <c r="L151" s="76"/>
      <c r="M151" s="76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76"/>
      <c r="AD151" s="76"/>
    </row>
    <row r="152" ht="45.75" customHeight="1">
      <c r="A152" s="76"/>
      <c r="B152" s="87"/>
      <c r="C152" s="87"/>
      <c r="D152" s="87"/>
      <c r="E152" s="87"/>
      <c r="F152" s="87"/>
      <c r="G152" s="87"/>
      <c r="H152" s="87"/>
      <c r="I152" s="76"/>
      <c r="J152" s="76"/>
      <c r="K152" s="76"/>
      <c r="L152" s="76"/>
      <c r="M152" s="76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76"/>
      <c r="AD152" s="76"/>
    </row>
    <row r="153" ht="45.75" customHeight="1">
      <c r="A153" s="76"/>
      <c r="B153" s="87"/>
      <c r="C153" s="87"/>
      <c r="D153" s="87"/>
      <c r="E153" s="87"/>
      <c r="F153" s="87"/>
      <c r="G153" s="87"/>
      <c r="H153" s="87"/>
      <c r="I153" s="76"/>
      <c r="J153" s="76"/>
      <c r="K153" s="76"/>
      <c r="L153" s="76"/>
      <c r="M153" s="76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76"/>
      <c r="AD153" s="76"/>
    </row>
    <row r="154" ht="45.75" customHeight="1">
      <c r="A154" s="76"/>
      <c r="B154" s="87"/>
      <c r="C154" s="87"/>
      <c r="D154" s="87"/>
      <c r="E154" s="87"/>
      <c r="F154" s="87"/>
      <c r="G154" s="87"/>
      <c r="H154" s="87"/>
      <c r="I154" s="76"/>
      <c r="J154" s="76"/>
      <c r="K154" s="76"/>
      <c r="L154" s="76"/>
      <c r="M154" s="76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76"/>
      <c r="AD154" s="76"/>
    </row>
    <row r="155" ht="45.75" customHeight="1">
      <c r="A155" s="76"/>
      <c r="B155" s="87"/>
      <c r="C155" s="87"/>
      <c r="D155" s="87"/>
      <c r="E155" s="87"/>
      <c r="F155" s="87"/>
      <c r="G155" s="87"/>
      <c r="H155" s="87"/>
      <c r="I155" s="76"/>
      <c r="J155" s="76"/>
      <c r="K155" s="76"/>
      <c r="L155" s="76"/>
      <c r="M155" s="76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76"/>
      <c r="AD155" s="76"/>
    </row>
    <row r="156" ht="45.75" customHeight="1">
      <c r="A156" s="76"/>
      <c r="B156" s="87"/>
      <c r="C156" s="87"/>
      <c r="D156" s="87"/>
      <c r="E156" s="87"/>
      <c r="F156" s="87"/>
      <c r="G156" s="87"/>
      <c r="H156" s="87"/>
      <c r="I156" s="76"/>
      <c r="J156" s="76"/>
      <c r="K156" s="76"/>
      <c r="L156" s="76"/>
      <c r="M156" s="76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76"/>
      <c r="AD156" s="76"/>
    </row>
    <row r="157" ht="45.75" customHeight="1">
      <c r="A157" s="76"/>
      <c r="B157" s="87"/>
      <c r="C157" s="87"/>
      <c r="D157" s="87"/>
      <c r="E157" s="87"/>
      <c r="F157" s="87"/>
      <c r="G157" s="87"/>
      <c r="H157" s="87"/>
      <c r="I157" s="76"/>
      <c r="J157" s="76"/>
      <c r="K157" s="76"/>
      <c r="L157" s="76"/>
      <c r="M157" s="76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76"/>
      <c r="AD157" s="76"/>
    </row>
    <row r="158" ht="45.75" customHeight="1">
      <c r="A158" s="76"/>
      <c r="B158" s="87"/>
      <c r="C158" s="87"/>
      <c r="D158" s="87"/>
      <c r="E158" s="87"/>
      <c r="F158" s="87"/>
      <c r="G158" s="87"/>
      <c r="H158" s="87"/>
      <c r="I158" s="76"/>
      <c r="J158" s="76"/>
      <c r="K158" s="76"/>
      <c r="L158" s="76"/>
      <c r="M158" s="76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76"/>
      <c r="AD158" s="76"/>
    </row>
    <row r="159" ht="45.75" customHeight="1">
      <c r="A159" s="76"/>
      <c r="B159" s="87"/>
      <c r="C159" s="87"/>
      <c r="D159" s="87"/>
      <c r="E159" s="87"/>
      <c r="F159" s="87"/>
      <c r="G159" s="87"/>
      <c r="H159" s="87"/>
      <c r="I159" s="76"/>
      <c r="J159" s="76"/>
      <c r="K159" s="76"/>
      <c r="L159" s="76"/>
      <c r="M159" s="76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76"/>
      <c r="AD159" s="76"/>
    </row>
    <row r="160" ht="45.75" customHeight="1">
      <c r="A160" s="76"/>
      <c r="B160" s="87"/>
      <c r="C160" s="87"/>
      <c r="D160" s="87"/>
      <c r="E160" s="87"/>
      <c r="F160" s="87"/>
      <c r="G160" s="87"/>
      <c r="H160" s="87"/>
      <c r="I160" s="76"/>
      <c r="J160" s="76"/>
      <c r="K160" s="76"/>
      <c r="L160" s="76"/>
      <c r="M160" s="76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76"/>
      <c r="AD160" s="76"/>
    </row>
    <row r="161" ht="45.75" customHeight="1">
      <c r="A161" s="76"/>
      <c r="B161" s="87"/>
      <c r="C161" s="87"/>
      <c r="D161" s="87"/>
      <c r="E161" s="87"/>
      <c r="F161" s="87"/>
      <c r="G161" s="87"/>
      <c r="H161" s="87"/>
      <c r="I161" s="76"/>
      <c r="J161" s="76"/>
      <c r="K161" s="76"/>
      <c r="L161" s="76"/>
      <c r="M161" s="76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76"/>
      <c r="AD161" s="76"/>
    </row>
    <row r="162" ht="45.75" customHeight="1">
      <c r="A162" s="76"/>
      <c r="B162" s="87"/>
      <c r="C162" s="87"/>
      <c r="D162" s="87"/>
      <c r="E162" s="87"/>
      <c r="F162" s="87"/>
      <c r="G162" s="87"/>
      <c r="H162" s="87"/>
      <c r="I162" s="76"/>
      <c r="J162" s="76"/>
      <c r="K162" s="76"/>
      <c r="L162" s="76"/>
      <c r="M162" s="76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76"/>
      <c r="AD162" s="76"/>
    </row>
    <row r="163" ht="45.75" customHeight="1">
      <c r="A163" s="76"/>
      <c r="B163" s="87"/>
      <c r="C163" s="87"/>
      <c r="D163" s="87"/>
      <c r="E163" s="87"/>
      <c r="F163" s="87"/>
      <c r="G163" s="87"/>
      <c r="H163" s="87"/>
      <c r="I163" s="76"/>
      <c r="J163" s="76"/>
      <c r="K163" s="76"/>
      <c r="L163" s="76"/>
      <c r="M163" s="76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76"/>
      <c r="AD163" s="76"/>
    </row>
    <row r="164" ht="45.75" customHeight="1">
      <c r="A164" s="76"/>
      <c r="B164" s="87"/>
      <c r="C164" s="87"/>
      <c r="D164" s="87"/>
      <c r="E164" s="87"/>
      <c r="F164" s="87"/>
      <c r="G164" s="87"/>
      <c r="H164" s="87"/>
      <c r="I164" s="76"/>
      <c r="J164" s="76"/>
      <c r="K164" s="76"/>
      <c r="L164" s="76"/>
      <c r="M164" s="76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76"/>
      <c r="AD164" s="76"/>
    </row>
    <row r="165" ht="45.75" customHeight="1">
      <c r="A165" s="76"/>
      <c r="B165" s="87"/>
      <c r="C165" s="87"/>
      <c r="D165" s="87"/>
      <c r="E165" s="87"/>
      <c r="F165" s="87"/>
      <c r="G165" s="87"/>
      <c r="H165" s="87"/>
      <c r="I165" s="76"/>
      <c r="J165" s="76"/>
      <c r="K165" s="76"/>
      <c r="L165" s="76"/>
      <c r="M165" s="76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76"/>
      <c r="AD165" s="76"/>
    </row>
    <row r="166" ht="45.75" customHeight="1">
      <c r="A166" s="76"/>
      <c r="B166" s="87"/>
      <c r="C166" s="87"/>
      <c r="D166" s="87"/>
      <c r="E166" s="87"/>
      <c r="F166" s="87"/>
      <c r="G166" s="87"/>
      <c r="H166" s="87"/>
      <c r="I166" s="76"/>
      <c r="J166" s="76"/>
      <c r="K166" s="76"/>
      <c r="L166" s="76"/>
      <c r="M166" s="76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76"/>
      <c r="AD166" s="76"/>
    </row>
    <row r="167" ht="45.75" customHeight="1">
      <c r="A167" s="76"/>
      <c r="B167" s="87"/>
      <c r="C167" s="87"/>
      <c r="D167" s="87"/>
      <c r="E167" s="87"/>
      <c r="F167" s="87"/>
      <c r="G167" s="87"/>
      <c r="H167" s="87"/>
      <c r="I167" s="76"/>
      <c r="J167" s="76"/>
      <c r="K167" s="76"/>
      <c r="L167" s="76"/>
      <c r="M167" s="76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76"/>
      <c r="AD167" s="76"/>
    </row>
    <row r="168" ht="45.75" customHeight="1">
      <c r="A168" s="76"/>
      <c r="B168" s="87"/>
      <c r="C168" s="87"/>
      <c r="D168" s="87"/>
      <c r="E168" s="87"/>
      <c r="F168" s="87"/>
      <c r="G168" s="87"/>
      <c r="H168" s="87"/>
      <c r="I168" s="76"/>
      <c r="J168" s="76"/>
      <c r="K168" s="76"/>
      <c r="L168" s="76"/>
      <c r="M168" s="76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76"/>
      <c r="AD168" s="76"/>
    </row>
    <row r="169" ht="45.75" customHeight="1">
      <c r="A169" s="76"/>
      <c r="B169" s="87"/>
      <c r="C169" s="87"/>
      <c r="D169" s="87"/>
      <c r="E169" s="87"/>
      <c r="F169" s="87"/>
      <c r="G169" s="87"/>
      <c r="H169" s="87"/>
      <c r="I169" s="76"/>
      <c r="J169" s="76"/>
      <c r="K169" s="76"/>
      <c r="L169" s="76"/>
      <c r="M169" s="76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76"/>
      <c r="AD169" s="76"/>
    </row>
    <row r="170" ht="45.75" customHeight="1">
      <c r="A170" s="76"/>
      <c r="B170" s="87"/>
      <c r="C170" s="87"/>
      <c r="D170" s="87"/>
      <c r="E170" s="87"/>
      <c r="F170" s="87"/>
      <c r="G170" s="87"/>
      <c r="H170" s="87"/>
      <c r="I170" s="76"/>
      <c r="J170" s="76"/>
      <c r="K170" s="76"/>
      <c r="L170" s="76"/>
      <c r="M170" s="76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76"/>
      <c r="AD170" s="76"/>
    </row>
    <row r="171" ht="45.75" customHeight="1">
      <c r="A171" s="76"/>
      <c r="B171" s="87"/>
      <c r="C171" s="87"/>
      <c r="D171" s="87"/>
      <c r="E171" s="87"/>
      <c r="F171" s="87"/>
      <c r="G171" s="87"/>
      <c r="H171" s="87"/>
      <c r="I171" s="76"/>
      <c r="J171" s="76"/>
      <c r="K171" s="76"/>
      <c r="L171" s="76"/>
      <c r="M171" s="76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76"/>
      <c r="AD171" s="76"/>
    </row>
    <row r="172" ht="45.75" customHeight="1">
      <c r="A172" s="76"/>
      <c r="B172" s="87"/>
      <c r="C172" s="87"/>
      <c r="D172" s="87"/>
      <c r="E172" s="87"/>
      <c r="F172" s="87"/>
      <c r="G172" s="87"/>
      <c r="H172" s="87"/>
      <c r="I172" s="76"/>
      <c r="J172" s="76"/>
      <c r="K172" s="76"/>
      <c r="L172" s="76"/>
      <c r="M172" s="76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76"/>
      <c r="AD172" s="76"/>
    </row>
    <row r="173" ht="45.75" customHeight="1">
      <c r="A173" s="76"/>
      <c r="B173" s="87"/>
      <c r="C173" s="87"/>
      <c r="D173" s="87"/>
      <c r="E173" s="87"/>
      <c r="F173" s="87"/>
      <c r="G173" s="87"/>
      <c r="H173" s="87"/>
      <c r="I173" s="76"/>
      <c r="J173" s="76"/>
      <c r="K173" s="76"/>
      <c r="L173" s="76"/>
      <c r="M173" s="76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76"/>
      <c r="AD173" s="76"/>
    </row>
    <row r="174" ht="45.75" customHeight="1">
      <c r="A174" s="76"/>
      <c r="B174" s="87"/>
      <c r="C174" s="87"/>
      <c r="D174" s="87"/>
      <c r="E174" s="87"/>
      <c r="F174" s="87"/>
      <c r="G174" s="87"/>
      <c r="H174" s="87"/>
      <c r="I174" s="76"/>
      <c r="J174" s="76"/>
      <c r="K174" s="76"/>
      <c r="L174" s="76"/>
      <c r="M174" s="76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76"/>
      <c r="AD174" s="76"/>
    </row>
    <row r="175" ht="45.75" customHeight="1">
      <c r="A175" s="76"/>
      <c r="B175" s="87"/>
      <c r="C175" s="87"/>
      <c r="D175" s="87"/>
      <c r="E175" s="87"/>
      <c r="F175" s="87"/>
      <c r="G175" s="87"/>
      <c r="H175" s="87"/>
      <c r="I175" s="76"/>
      <c r="J175" s="76"/>
      <c r="K175" s="76"/>
      <c r="L175" s="76"/>
      <c r="M175" s="76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76"/>
      <c r="AD175" s="76"/>
    </row>
    <row r="176" ht="45.75" customHeight="1">
      <c r="A176" s="76"/>
      <c r="B176" s="87"/>
      <c r="C176" s="87"/>
      <c r="D176" s="87"/>
      <c r="E176" s="87"/>
      <c r="F176" s="87"/>
      <c r="G176" s="87"/>
      <c r="H176" s="87"/>
      <c r="I176" s="76"/>
      <c r="J176" s="76"/>
      <c r="K176" s="76"/>
      <c r="L176" s="76"/>
      <c r="M176" s="76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76"/>
      <c r="AD176" s="76"/>
    </row>
    <row r="177" ht="45.75" customHeight="1">
      <c r="A177" s="76"/>
      <c r="B177" s="87"/>
      <c r="C177" s="87"/>
      <c r="D177" s="87"/>
      <c r="E177" s="87"/>
      <c r="F177" s="87"/>
      <c r="G177" s="87"/>
      <c r="H177" s="87"/>
      <c r="I177" s="76"/>
      <c r="J177" s="76"/>
      <c r="K177" s="76"/>
      <c r="L177" s="76"/>
      <c r="M177" s="76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76"/>
      <c r="AD177" s="76"/>
    </row>
    <row r="178" ht="45.75" customHeight="1">
      <c r="A178" s="76"/>
      <c r="B178" s="87"/>
      <c r="C178" s="87"/>
      <c r="D178" s="87"/>
      <c r="E178" s="87"/>
      <c r="F178" s="87"/>
      <c r="G178" s="87"/>
      <c r="H178" s="87"/>
      <c r="I178" s="76"/>
      <c r="J178" s="76"/>
      <c r="K178" s="76"/>
      <c r="L178" s="76"/>
      <c r="M178" s="76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76"/>
      <c r="AD178" s="76"/>
    </row>
    <row r="179" ht="45.75" customHeight="1">
      <c r="A179" s="76"/>
      <c r="B179" s="87"/>
      <c r="C179" s="87"/>
      <c r="D179" s="87"/>
      <c r="E179" s="87"/>
      <c r="F179" s="87"/>
      <c r="G179" s="87"/>
      <c r="H179" s="87"/>
      <c r="I179" s="76"/>
      <c r="J179" s="76"/>
      <c r="K179" s="76"/>
      <c r="L179" s="76"/>
      <c r="M179" s="76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76"/>
      <c r="AD179" s="76"/>
    </row>
    <row r="180" ht="45.75" customHeight="1">
      <c r="A180" s="76"/>
      <c r="B180" s="87"/>
      <c r="C180" s="87"/>
      <c r="D180" s="87"/>
      <c r="E180" s="87"/>
      <c r="F180" s="87"/>
      <c r="G180" s="87"/>
      <c r="H180" s="87"/>
      <c r="I180" s="76"/>
      <c r="J180" s="76"/>
      <c r="K180" s="76"/>
      <c r="L180" s="76"/>
      <c r="M180" s="76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76"/>
      <c r="AD180" s="76"/>
    </row>
    <row r="181" ht="45.75" customHeight="1">
      <c r="A181" s="76"/>
      <c r="B181" s="87"/>
      <c r="C181" s="87"/>
      <c r="D181" s="87"/>
      <c r="E181" s="87"/>
      <c r="F181" s="87"/>
      <c r="G181" s="87"/>
      <c r="H181" s="87"/>
      <c r="I181" s="76"/>
      <c r="J181" s="76"/>
      <c r="K181" s="76"/>
      <c r="L181" s="76"/>
      <c r="M181" s="76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76"/>
      <c r="AD181" s="76"/>
    </row>
    <row r="182" ht="45.75" customHeight="1">
      <c r="A182" s="76"/>
      <c r="B182" s="87"/>
      <c r="C182" s="87"/>
      <c r="D182" s="87"/>
      <c r="E182" s="87"/>
      <c r="F182" s="87"/>
      <c r="G182" s="87"/>
      <c r="H182" s="87"/>
      <c r="I182" s="76"/>
      <c r="J182" s="76"/>
      <c r="K182" s="76"/>
      <c r="L182" s="76"/>
      <c r="M182" s="76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76"/>
      <c r="AD182" s="76"/>
    </row>
    <row r="183" ht="45.75" customHeight="1">
      <c r="A183" s="76"/>
      <c r="B183" s="87"/>
      <c r="C183" s="87"/>
      <c r="D183" s="87"/>
      <c r="E183" s="87"/>
      <c r="F183" s="87"/>
      <c r="G183" s="87"/>
      <c r="H183" s="87"/>
      <c r="I183" s="76"/>
      <c r="J183" s="76"/>
      <c r="K183" s="76"/>
      <c r="L183" s="76"/>
      <c r="M183" s="76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76"/>
      <c r="AD183" s="76"/>
    </row>
    <row r="184" ht="45.75" customHeight="1">
      <c r="A184" s="76"/>
      <c r="B184" s="87"/>
      <c r="C184" s="87"/>
      <c r="D184" s="87"/>
      <c r="E184" s="87"/>
      <c r="F184" s="87"/>
      <c r="G184" s="87"/>
      <c r="H184" s="87"/>
      <c r="I184" s="76"/>
      <c r="J184" s="76"/>
      <c r="K184" s="76"/>
      <c r="L184" s="76"/>
      <c r="M184" s="76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76"/>
      <c r="AD184" s="76"/>
    </row>
    <row r="185" ht="45.75" customHeight="1">
      <c r="A185" s="76"/>
      <c r="B185" s="87"/>
      <c r="C185" s="87"/>
      <c r="D185" s="87"/>
      <c r="E185" s="87"/>
      <c r="F185" s="87"/>
      <c r="G185" s="87"/>
      <c r="H185" s="87"/>
      <c r="I185" s="76"/>
      <c r="J185" s="76"/>
      <c r="K185" s="76"/>
      <c r="L185" s="76"/>
      <c r="M185" s="76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76"/>
      <c r="AD185" s="76"/>
    </row>
    <row r="186" ht="45.75" customHeight="1">
      <c r="A186" s="76"/>
      <c r="B186" s="87"/>
      <c r="C186" s="87"/>
      <c r="D186" s="87"/>
      <c r="E186" s="87"/>
      <c r="F186" s="87"/>
      <c r="G186" s="87"/>
      <c r="H186" s="87"/>
      <c r="I186" s="76"/>
      <c r="J186" s="76"/>
      <c r="K186" s="76"/>
      <c r="L186" s="76"/>
      <c r="M186" s="76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76"/>
      <c r="AD186" s="76"/>
    </row>
    <row r="187" ht="45.75" customHeight="1">
      <c r="A187" s="76"/>
      <c r="B187" s="87"/>
      <c r="C187" s="87"/>
      <c r="D187" s="87"/>
      <c r="E187" s="87"/>
      <c r="F187" s="87"/>
      <c r="G187" s="87"/>
      <c r="H187" s="87"/>
      <c r="I187" s="76"/>
      <c r="J187" s="76"/>
      <c r="K187" s="76"/>
      <c r="L187" s="76"/>
      <c r="M187" s="76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76"/>
      <c r="AD187" s="76"/>
    </row>
    <row r="188" ht="45.75" customHeight="1">
      <c r="A188" s="76"/>
      <c r="B188" s="87"/>
      <c r="C188" s="87"/>
      <c r="D188" s="87"/>
      <c r="E188" s="87"/>
      <c r="F188" s="87"/>
      <c r="G188" s="87"/>
      <c r="H188" s="87"/>
      <c r="I188" s="76"/>
      <c r="J188" s="76"/>
      <c r="K188" s="76"/>
      <c r="L188" s="76"/>
      <c r="M188" s="76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76"/>
      <c r="AD188" s="76"/>
    </row>
    <row r="189" ht="45.75" customHeight="1">
      <c r="A189" s="76"/>
      <c r="B189" s="87"/>
      <c r="C189" s="87"/>
      <c r="D189" s="87"/>
      <c r="E189" s="87"/>
      <c r="F189" s="87"/>
      <c r="G189" s="87"/>
      <c r="H189" s="87"/>
      <c r="I189" s="76"/>
      <c r="J189" s="76"/>
      <c r="K189" s="76"/>
      <c r="L189" s="76"/>
      <c r="M189" s="76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76"/>
      <c r="AD189" s="76"/>
    </row>
    <row r="190" ht="45.75" customHeight="1">
      <c r="A190" s="76"/>
      <c r="B190" s="87"/>
      <c r="C190" s="87"/>
      <c r="D190" s="87"/>
      <c r="E190" s="87"/>
      <c r="F190" s="87"/>
      <c r="G190" s="87"/>
      <c r="H190" s="87"/>
      <c r="I190" s="76"/>
      <c r="J190" s="76"/>
      <c r="K190" s="76"/>
      <c r="L190" s="76"/>
      <c r="M190" s="76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76"/>
      <c r="AD190" s="76"/>
    </row>
    <row r="191" ht="45.75" customHeight="1">
      <c r="A191" s="76"/>
      <c r="B191" s="87"/>
      <c r="C191" s="87"/>
      <c r="D191" s="87"/>
      <c r="E191" s="87"/>
      <c r="F191" s="87"/>
      <c r="G191" s="87"/>
      <c r="H191" s="87"/>
      <c r="I191" s="76"/>
      <c r="J191" s="76"/>
      <c r="K191" s="76"/>
      <c r="L191" s="76"/>
      <c r="M191" s="76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76"/>
      <c r="AD191" s="76"/>
    </row>
    <row r="192" ht="45.75" customHeight="1">
      <c r="A192" s="76"/>
      <c r="B192" s="87"/>
      <c r="C192" s="87"/>
      <c r="D192" s="87"/>
      <c r="E192" s="87"/>
      <c r="F192" s="87"/>
      <c r="G192" s="87"/>
      <c r="H192" s="87"/>
      <c r="I192" s="76"/>
      <c r="J192" s="76"/>
      <c r="K192" s="76"/>
      <c r="L192" s="76"/>
      <c r="M192" s="76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76"/>
      <c r="AD192" s="76"/>
    </row>
    <row r="193" ht="45.75" customHeight="1">
      <c r="A193" s="76"/>
      <c r="B193" s="87"/>
      <c r="C193" s="87"/>
      <c r="D193" s="87"/>
      <c r="E193" s="87"/>
      <c r="F193" s="87"/>
      <c r="G193" s="87"/>
      <c r="H193" s="87"/>
      <c r="I193" s="76"/>
      <c r="J193" s="76"/>
      <c r="K193" s="76"/>
      <c r="L193" s="76"/>
      <c r="M193" s="76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76"/>
      <c r="AD193" s="76"/>
    </row>
    <row r="194" ht="45.75" customHeight="1">
      <c r="A194" s="76"/>
      <c r="B194" s="87"/>
      <c r="C194" s="87"/>
      <c r="D194" s="87"/>
      <c r="E194" s="87"/>
      <c r="F194" s="87"/>
      <c r="G194" s="87"/>
      <c r="H194" s="87"/>
      <c r="I194" s="76"/>
      <c r="J194" s="76"/>
      <c r="K194" s="76"/>
      <c r="L194" s="76"/>
      <c r="M194" s="76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76"/>
      <c r="AD194" s="76"/>
    </row>
    <row r="195" ht="45.75" customHeight="1">
      <c r="A195" s="76"/>
      <c r="B195" s="87"/>
      <c r="C195" s="87"/>
      <c r="D195" s="87"/>
      <c r="E195" s="87"/>
      <c r="F195" s="87"/>
      <c r="G195" s="87"/>
      <c r="H195" s="87"/>
      <c r="I195" s="76"/>
      <c r="J195" s="76"/>
      <c r="K195" s="76"/>
      <c r="L195" s="76"/>
      <c r="M195" s="76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76"/>
      <c r="AD195" s="76"/>
    </row>
    <row r="196" ht="45.75" customHeight="1">
      <c r="A196" s="76"/>
      <c r="B196" s="87"/>
      <c r="C196" s="87"/>
      <c r="D196" s="87"/>
      <c r="E196" s="87"/>
      <c r="F196" s="87"/>
      <c r="G196" s="87"/>
      <c r="H196" s="87"/>
      <c r="I196" s="76"/>
      <c r="J196" s="76"/>
      <c r="K196" s="76"/>
      <c r="L196" s="76"/>
      <c r="M196" s="76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76"/>
      <c r="AD196" s="76"/>
    </row>
    <row r="197" ht="45.75" customHeight="1">
      <c r="A197" s="76"/>
      <c r="B197" s="87"/>
      <c r="C197" s="87"/>
      <c r="D197" s="87"/>
      <c r="E197" s="87"/>
      <c r="F197" s="87"/>
      <c r="G197" s="87"/>
      <c r="H197" s="87"/>
      <c r="I197" s="76"/>
      <c r="J197" s="76"/>
      <c r="K197" s="76"/>
      <c r="L197" s="76"/>
      <c r="M197" s="76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76"/>
      <c r="AD197" s="76"/>
    </row>
    <row r="198" ht="45.75" customHeight="1">
      <c r="A198" s="76"/>
      <c r="B198" s="87"/>
      <c r="C198" s="87"/>
      <c r="D198" s="87"/>
      <c r="E198" s="87"/>
      <c r="F198" s="87"/>
      <c r="G198" s="87"/>
      <c r="H198" s="87"/>
      <c r="I198" s="76"/>
      <c r="J198" s="76"/>
      <c r="K198" s="76"/>
      <c r="L198" s="76"/>
      <c r="M198" s="76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76"/>
      <c r="AD198" s="76"/>
    </row>
    <row r="199" ht="45.75" customHeight="1">
      <c r="A199" s="76"/>
      <c r="B199" s="87"/>
      <c r="C199" s="87"/>
      <c r="D199" s="87"/>
      <c r="E199" s="87"/>
      <c r="F199" s="87"/>
      <c r="G199" s="87"/>
      <c r="H199" s="87"/>
      <c r="I199" s="76"/>
      <c r="J199" s="76"/>
      <c r="K199" s="76"/>
      <c r="L199" s="76"/>
      <c r="M199" s="76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76"/>
      <c r="AD199" s="76"/>
    </row>
    <row r="200" ht="45.75" customHeight="1">
      <c r="A200" s="76"/>
      <c r="B200" s="87"/>
      <c r="C200" s="87"/>
      <c r="D200" s="87"/>
      <c r="E200" s="87"/>
      <c r="F200" s="87"/>
      <c r="G200" s="87"/>
      <c r="H200" s="87"/>
      <c r="I200" s="76"/>
      <c r="J200" s="76"/>
      <c r="K200" s="76"/>
      <c r="L200" s="76"/>
      <c r="M200" s="76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76"/>
      <c r="AD200" s="76"/>
    </row>
    <row r="201" ht="45.75" customHeight="1">
      <c r="A201" s="76"/>
      <c r="B201" s="87"/>
      <c r="C201" s="87"/>
      <c r="D201" s="87"/>
      <c r="E201" s="87"/>
      <c r="F201" s="87"/>
      <c r="G201" s="87"/>
      <c r="H201" s="87"/>
      <c r="I201" s="76"/>
      <c r="J201" s="76"/>
      <c r="K201" s="76"/>
      <c r="L201" s="76"/>
      <c r="M201" s="76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76"/>
      <c r="AD201" s="76"/>
    </row>
    <row r="202" ht="45.75" customHeight="1">
      <c r="A202" s="76"/>
      <c r="B202" s="87"/>
      <c r="C202" s="87"/>
      <c r="D202" s="87"/>
      <c r="E202" s="87"/>
      <c r="F202" s="87"/>
      <c r="G202" s="87"/>
      <c r="H202" s="87"/>
      <c r="I202" s="76"/>
      <c r="J202" s="76"/>
      <c r="K202" s="76"/>
      <c r="L202" s="76"/>
      <c r="M202" s="76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76"/>
      <c r="AD202" s="76"/>
    </row>
    <row r="203" ht="45.75" customHeight="1">
      <c r="A203" s="76"/>
      <c r="B203" s="87"/>
      <c r="C203" s="87"/>
      <c r="D203" s="87"/>
      <c r="E203" s="87"/>
      <c r="F203" s="87"/>
      <c r="G203" s="87"/>
      <c r="H203" s="87"/>
      <c r="I203" s="76"/>
      <c r="J203" s="76"/>
      <c r="K203" s="76"/>
      <c r="L203" s="76"/>
      <c r="M203" s="76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76"/>
      <c r="AD203" s="76"/>
    </row>
    <row r="204" ht="45.75" customHeight="1">
      <c r="A204" s="76"/>
      <c r="B204" s="87"/>
      <c r="C204" s="87"/>
      <c r="D204" s="87"/>
      <c r="E204" s="87"/>
      <c r="F204" s="87"/>
      <c r="G204" s="87"/>
      <c r="H204" s="87"/>
      <c r="I204" s="76"/>
      <c r="J204" s="76"/>
      <c r="K204" s="76"/>
      <c r="L204" s="76"/>
      <c r="M204" s="76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76"/>
      <c r="AD204" s="76"/>
    </row>
    <row r="205" ht="45.75" customHeight="1">
      <c r="A205" s="76"/>
      <c r="B205" s="87"/>
      <c r="C205" s="87"/>
      <c r="D205" s="87"/>
      <c r="E205" s="87"/>
      <c r="F205" s="87"/>
      <c r="G205" s="87"/>
      <c r="H205" s="87"/>
      <c r="I205" s="76"/>
      <c r="J205" s="76"/>
      <c r="K205" s="76"/>
      <c r="L205" s="76"/>
      <c r="M205" s="76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76"/>
      <c r="AD205" s="76"/>
    </row>
    <row r="206" ht="45.75" customHeight="1">
      <c r="A206" s="76"/>
      <c r="B206" s="87"/>
      <c r="C206" s="87"/>
      <c r="D206" s="87"/>
      <c r="E206" s="87"/>
      <c r="F206" s="87"/>
      <c r="G206" s="87"/>
      <c r="H206" s="87"/>
      <c r="I206" s="76"/>
      <c r="J206" s="76"/>
      <c r="K206" s="76"/>
      <c r="L206" s="76"/>
      <c r="M206" s="76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76"/>
      <c r="AD206" s="76"/>
    </row>
    <row r="207" ht="45.75" customHeight="1">
      <c r="A207" s="76"/>
      <c r="B207" s="87"/>
      <c r="C207" s="87"/>
      <c r="D207" s="87"/>
      <c r="E207" s="87"/>
      <c r="F207" s="87"/>
      <c r="G207" s="87"/>
      <c r="H207" s="87"/>
      <c r="I207" s="76"/>
      <c r="J207" s="76"/>
      <c r="K207" s="76"/>
      <c r="L207" s="76"/>
      <c r="M207" s="76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76"/>
      <c r="AD207" s="76"/>
    </row>
    <row r="208" ht="45.75" customHeight="1">
      <c r="A208" s="76"/>
      <c r="B208" s="87"/>
      <c r="C208" s="87"/>
      <c r="D208" s="87"/>
      <c r="E208" s="87"/>
      <c r="F208" s="87"/>
      <c r="G208" s="87"/>
      <c r="H208" s="87"/>
      <c r="I208" s="76"/>
      <c r="J208" s="76"/>
      <c r="K208" s="76"/>
      <c r="L208" s="76"/>
      <c r="M208" s="76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76"/>
      <c r="AD208" s="76"/>
    </row>
    <row r="209" ht="45.75" customHeight="1">
      <c r="A209" s="76"/>
      <c r="B209" s="87"/>
      <c r="C209" s="87"/>
      <c r="D209" s="87"/>
      <c r="E209" s="87"/>
      <c r="F209" s="87"/>
      <c r="G209" s="87"/>
      <c r="H209" s="87"/>
      <c r="I209" s="76"/>
      <c r="J209" s="76"/>
      <c r="K209" s="76"/>
      <c r="L209" s="76"/>
      <c r="M209" s="76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76"/>
      <c r="AD209" s="76"/>
    </row>
    <row r="210" ht="45.75" customHeight="1">
      <c r="A210" s="76"/>
      <c r="B210" s="87"/>
      <c r="C210" s="87"/>
      <c r="D210" s="87"/>
      <c r="E210" s="87"/>
      <c r="F210" s="87"/>
      <c r="G210" s="87"/>
      <c r="H210" s="87"/>
      <c r="I210" s="76"/>
      <c r="J210" s="76"/>
      <c r="K210" s="76"/>
      <c r="L210" s="76"/>
      <c r="M210" s="76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76"/>
      <c r="AD210" s="76"/>
    </row>
    <row r="211" ht="45.75" customHeight="1">
      <c r="A211" s="76"/>
      <c r="B211" s="87"/>
      <c r="C211" s="87"/>
      <c r="D211" s="87"/>
      <c r="E211" s="87"/>
      <c r="F211" s="87"/>
      <c r="G211" s="87"/>
      <c r="H211" s="87"/>
      <c r="I211" s="76"/>
      <c r="J211" s="76"/>
      <c r="K211" s="76"/>
      <c r="L211" s="76"/>
      <c r="M211" s="76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76"/>
      <c r="AD211" s="76"/>
    </row>
    <row r="212" ht="45.75" customHeight="1">
      <c r="A212" s="76"/>
      <c r="B212" s="87"/>
      <c r="C212" s="87"/>
      <c r="D212" s="87"/>
      <c r="E212" s="87"/>
      <c r="F212" s="87"/>
      <c r="G212" s="87"/>
      <c r="H212" s="87"/>
      <c r="I212" s="76"/>
      <c r="J212" s="76"/>
      <c r="K212" s="76"/>
      <c r="L212" s="76"/>
      <c r="M212" s="76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76"/>
      <c r="AD212" s="76"/>
    </row>
    <row r="213" ht="45.75" customHeight="1">
      <c r="A213" s="76"/>
      <c r="B213" s="87"/>
      <c r="C213" s="87"/>
      <c r="D213" s="87"/>
      <c r="E213" s="87"/>
      <c r="F213" s="87"/>
      <c r="G213" s="87"/>
      <c r="H213" s="87"/>
      <c r="I213" s="76"/>
      <c r="J213" s="76"/>
      <c r="K213" s="76"/>
      <c r="L213" s="76"/>
      <c r="M213" s="76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76"/>
      <c r="AD213" s="76"/>
    </row>
    <row r="214" ht="45.75" customHeight="1">
      <c r="A214" s="76"/>
      <c r="B214" s="87"/>
      <c r="C214" s="87"/>
      <c r="D214" s="87"/>
      <c r="E214" s="87"/>
      <c r="F214" s="87"/>
      <c r="G214" s="87"/>
      <c r="H214" s="87"/>
      <c r="I214" s="76"/>
      <c r="J214" s="76"/>
      <c r="K214" s="76"/>
      <c r="L214" s="76"/>
      <c r="M214" s="76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76"/>
      <c r="AD214" s="76"/>
    </row>
    <row r="215" ht="45.75" customHeight="1">
      <c r="A215" s="76"/>
      <c r="B215" s="87"/>
      <c r="C215" s="87"/>
      <c r="D215" s="87"/>
      <c r="E215" s="87"/>
      <c r="F215" s="87"/>
      <c r="G215" s="87"/>
      <c r="H215" s="87"/>
      <c r="I215" s="76"/>
      <c r="J215" s="76"/>
      <c r="K215" s="76"/>
      <c r="L215" s="76"/>
      <c r="M215" s="76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76"/>
      <c r="AD215" s="76"/>
    </row>
    <row r="216" ht="45.75" customHeight="1">
      <c r="A216" s="76"/>
      <c r="B216" s="87"/>
      <c r="C216" s="87"/>
      <c r="D216" s="87"/>
      <c r="E216" s="87"/>
      <c r="F216" s="87"/>
      <c r="G216" s="87"/>
      <c r="H216" s="87"/>
      <c r="I216" s="76"/>
      <c r="J216" s="76"/>
      <c r="K216" s="76"/>
      <c r="L216" s="76"/>
      <c r="M216" s="76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76"/>
      <c r="AD216" s="76"/>
    </row>
    <row r="217" ht="45.75" customHeight="1">
      <c r="A217" s="76"/>
      <c r="B217" s="87"/>
      <c r="C217" s="87"/>
      <c r="D217" s="87"/>
      <c r="E217" s="87"/>
      <c r="F217" s="87"/>
      <c r="G217" s="87"/>
      <c r="H217" s="87"/>
      <c r="I217" s="76"/>
      <c r="J217" s="76"/>
      <c r="K217" s="76"/>
      <c r="L217" s="76"/>
      <c r="M217" s="76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76"/>
      <c r="AD217" s="76"/>
    </row>
    <row r="218" ht="45.75" customHeight="1">
      <c r="A218" s="76"/>
      <c r="B218" s="87"/>
      <c r="C218" s="87"/>
      <c r="D218" s="87"/>
      <c r="E218" s="87"/>
      <c r="F218" s="87"/>
      <c r="G218" s="87"/>
      <c r="H218" s="87"/>
      <c r="I218" s="76"/>
      <c r="J218" s="76"/>
      <c r="K218" s="76"/>
      <c r="L218" s="76"/>
      <c r="M218" s="76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76"/>
      <c r="AD218" s="76"/>
    </row>
    <row r="219" ht="45.75" customHeight="1">
      <c r="A219" s="76"/>
      <c r="B219" s="87"/>
      <c r="C219" s="87"/>
      <c r="D219" s="87"/>
      <c r="E219" s="87"/>
      <c r="F219" s="87"/>
      <c r="G219" s="87"/>
      <c r="H219" s="87"/>
      <c r="I219" s="76"/>
      <c r="J219" s="76"/>
      <c r="K219" s="76"/>
      <c r="L219" s="76"/>
      <c r="M219" s="76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76"/>
      <c r="AD219" s="76"/>
    </row>
    <row r="220" ht="45.75" customHeight="1">
      <c r="A220" s="76"/>
      <c r="B220" s="87"/>
      <c r="C220" s="87"/>
      <c r="D220" s="87"/>
      <c r="E220" s="87"/>
      <c r="F220" s="87"/>
      <c r="G220" s="87"/>
      <c r="H220" s="87"/>
      <c r="I220" s="76"/>
      <c r="J220" s="76"/>
      <c r="K220" s="76"/>
      <c r="L220" s="76"/>
      <c r="M220" s="76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76"/>
      <c r="AD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H6"/>
  </mergeCells>
  <conditionalFormatting sqref="B8:H13">
    <cfRule type="cellIs" dxfId="0" priority="1" stopIfTrue="1" operator="greaterThan">
      <formula>TODAY()</formula>
    </cfRule>
  </conditionalFormatting>
  <dataValidations>
    <dataValidation type="list" allowBlank="1" showErrorMessage="1" sqref="F1">
      <formula1>$AD$2:$AD$12</formula1>
    </dataValidation>
    <dataValidation type="list" allowBlank="1" showErrorMessage="1" sqref="C1">
      <formula1>$AA$2:$AA$13</formula1>
    </dataValidation>
  </dataValidations>
  <printOptions/>
  <pageMargins bottom="1.1437499999999998" footer="0.0" header="0.0" left="0.7" right="0.7" top="1.1437499999999998"/>
  <pageSetup orientation="landscape"/>
  <drawing r:id="rId1"/>
</worksheet>
</file>